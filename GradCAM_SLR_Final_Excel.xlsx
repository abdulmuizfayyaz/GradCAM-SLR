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tables/table3.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tables/table4.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fayya\Downloads\"/>
    </mc:Choice>
  </mc:AlternateContent>
  <xr:revisionPtr revIDLastSave="0" documentId="13_ncr:1_{E8765AC6-95EA-4FAB-A5FB-FCDBEB50CFFC}" xr6:coauthVersionLast="47" xr6:coauthVersionMax="47" xr10:uidLastSave="{00000000-0000-0000-0000-000000000000}"/>
  <bookViews>
    <workbookView xWindow="-120" yWindow="-120" windowWidth="29040" windowHeight="15720" tabRatio="749" firstSheet="1" activeTab="13" xr2:uid="{00000000-000D-0000-FFFF-FFFF00000000}"/>
  </bookViews>
  <sheets>
    <sheet name="ReadMe_File" sheetId="18" r:id="rId1"/>
    <sheet name="# Databases" sheetId="7" r:id="rId2"/>
    <sheet name="#Publisher" sheetId="16" r:id="rId3"/>
    <sheet name="# Reference Type" sheetId="11" r:id="rId4"/>
    <sheet name="# Years" sheetId="10" r:id="rId5"/>
    <sheet name="# E&amp;QA" sheetId="9" r:id="rId6"/>
    <sheet name="Techniques" sheetId="15" r:id="rId7"/>
    <sheet name="Variations" sheetId="14" r:id="rId8"/>
    <sheet name="Metrics" sheetId="13" r:id="rId9"/>
    <sheet name="4 Included" sheetId="2" r:id="rId10"/>
    <sheet name="3 Eligibility" sheetId="8" r:id="rId11"/>
    <sheet name="2 Screening" sheetId="6" r:id="rId12"/>
    <sheet name="1 Identification" sheetId="3" r:id="rId13"/>
    <sheet name="ReadMe" sheetId="17" r:id="rId14"/>
  </sheets>
  <definedNames>
    <definedName name="ExternalData_1" localSheetId="9" hidden="1">'4 Included'!$A$1:$M$52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6" l="1"/>
  <c r="B5" i="16"/>
  <c r="B3" i="16"/>
  <c r="B7" i="16"/>
  <c r="B4" i="16"/>
  <c r="B8" i="16"/>
  <c r="B9" i="16"/>
  <c r="B10" i="16"/>
  <c r="B11" i="16"/>
  <c r="B6" i="16"/>
  <c r="D18" i="15" a="1"/>
  <c r="D18" i="15" s="1"/>
  <c r="D17" i="15" a="1"/>
  <c r="D17" i="15" s="1"/>
  <c r="D16" i="15" a="1"/>
  <c r="D16" i="15" s="1"/>
  <c r="D15" i="15" a="1"/>
  <c r="D15" i="15" s="1"/>
  <c r="D14" i="15" a="1"/>
  <c r="D14" i="15" s="1"/>
  <c r="D13" i="15" a="1"/>
  <c r="D13" i="15" s="1"/>
  <c r="D6" i="15" a="1"/>
  <c r="D6" i="15" s="1"/>
  <c r="B11" i="9"/>
  <c r="E3" i="7"/>
  <c r="E4" i="7"/>
  <c r="E5" i="7"/>
  <c r="E2" i="7"/>
  <c r="B12" i="16" l="1"/>
  <c r="C13" i="15"/>
  <c r="D3" i="15" a="1"/>
  <c r="D3" i="15" s="1"/>
  <c r="C3" i="15" s="1"/>
  <c r="D4" i="15" a="1"/>
  <c r="D4" i="15" s="1"/>
  <c r="C4" i="15" s="1"/>
  <c r="D5" i="15" a="1"/>
  <c r="D5" i="15" s="1"/>
  <c r="C5" i="15" s="1"/>
  <c r="D7" i="15" a="1"/>
  <c r="D7" i="15" s="1"/>
  <c r="D8" i="15" a="1"/>
  <c r="D8" i="15" s="1"/>
  <c r="D9" i="15" a="1"/>
  <c r="D9" i="15" s="1"/>
  <c r="D10" i="15" a="1"/>
  <c r="D10" i="15" s="1"/>
  <c r="C10" i="15" s="1"/>
  <c r="D11" i="15" a="1"/>
  <c r="D11" i="15" s="1"/>
  <c r="C11" i="15" s="1"/>
  <c r="D12" i="15" a="1"/>
  <c r="D12" i="15" s="1"/>
  <c r="C12" i="15" s="1"/>
  <c r="D19" i="15" a="1"/>
  <c r="D19" i="15" s="1"/>
  <c r="C19" i="15" s="1"/>
  <c r="D21" i="15" a="1"/>
  <c r="D21" i="15" s="1"/>
  <c r="C21" i="15" s="1"/>
  <c r="D20" i="15" a="1"/>
  <c r="D20" i="15" s="1"/>
  <c r="C20" i="15" s="1"/>
  <c r="D22" i="15" a="1"/>
  <c r="D22" i="15" s="1"/>
  <c r="C22" i="15" s="1"/>
  <c r="D23" i="15" a="1"/>
  <c r="D23" i="15" s="1"/>
  <c r="C23" i="15" s="1"/>
  <c r="D24" i="15" a="1"/>
  <c r="D24" i="15" s="1"/>
  <c r="D25" i="15" a="1"/>
  <c r="D25" i="15" s="1"/>
  <c r="D26" i="15" a="1"/>
  <c r="D26" i="15" s="1"/>
  <c r="D27" i="15" a="1"/>
  <c r="D27" i="15" s="1"/>
  <c r="C27" i="15" s="1"/>
  <c r="D28" i="15" a="1"/>
  <c r="D28" i="15" s="1"/>
  <c r="C28" i="15" s="1"/>
  <c r="D29" i="15" a="1"/>
  <c r="D29" i="15" s="1"/>
  <c r="D30" i="15" a="1"/>
  <c r="D30" i="15" s="1"/>
  <c r="D31" i="15" a="1"/>
  <c r="D31" i="15" s="1"/>
  <c r="D32" i="15" a="1"/>
  <c r="D32" i="15" s="1"/>
  <c r="C32" i="15" s="1"/>
  <c r="D33" i="15" a="1"/>
  <c r="D33" i="15" s="1"/>
  <c r="C33" i="15" s="1"/>
  <c r="D34" i="15" a="1"/>
  <c r="D34" i="15" s="1"/>
  <c r="C34" i="15" s="1"/>
  <c r="D35" i="15" a="1"/>
  <c r="D35" i="15" s="1"/>
  <c r="D38" i="15" a="1"/>
  <c r="D38" i="15" s="1"/>
  <c r="D39" i="15" a="1"/>
  <c r="D39" i="15" s="1"/>
  <c r="D40" i="15" a="1"/>
  <c r="D40" i="15" s="1"/>
  <c r="D41" i="15" a="1"/>
  <c r="D41" i="15" s="1"/>
  <c r="D36" i="15" a="1"/>
  <c r="D36" i="15" s="1"/>
  <c r="D37" i="15" a="1"/>
  <c r="D37" i="15" s="1"/>
  <c r="D42" i="15" a="1"/>
  <c r="D42" i="15" s="1"/>
  <c r="C42" i="15" s="1"/>
  <c r="D43" i="15" a="1"/>
  <c r="D43" i="15" s="1"/>
  <c r="C43" i="15" s="1"/>
  <c r="D44" i="15" a="1"/>
  <c r="D44" i="15" s="1"/>
  <c r="D45" i="15" a="1"/>
  <c r="D45" i="15" s="1"/>
  <c r="D46" i="15" a="1"/>
  <c r="D46" i="15" s="1"/>
  <c r="D47" i="15" a="1"/>
  <c r="D47" i="15" s="1"/>
  <c r="C47" i="15" s="1"/>
  <c r="D48" i="15" a="1"/>
  <c r="D48" i="15" s="1"/>
  <c r="C48" i="15" s="1"/>
  <c r="D49" i="15" a="1"/>
  <c r="D49" i="15" s="1"/>
  <c r="C49" i="15" s="1"/>
  <c r="D50" i="15" a="1"/>
  <c r="D50" i="15" s="1"/>
  <c r="C50" i="15" s="1"/>
  <c r="D2" i="15" a="1"/>
  <c r="D2" i="15" s="1"/>
  <c r="C2" i="15" s="1"/>
  <c r="B16" i="13" a="1"/>
  <c r="B16" i="13" s="1"/>
  <c r="B2" i="13" a="1"/>
  <c r="B2" i="13" s="1"/>
  <c r="B15" i="13" a="1"/>
  <c r="B15" i="13" s="1"/>
  <c r="B7" i="14" a="1"/>
  <c r="B7" i="14" s="1"/>
  <c r="B8" i="14" a="1"/>
  <c r="B8" i="14" s="1"/>
  <c r="B9" i="14" a="1"/>
  <c r="B9" i="14" s="1"/>
  <c r="B10" i="14" a="1"/>
  <c r="B10" i="14" s="1"/>
  <c r="B2" i="14" a="1"/>
  <c r="B2" i="14" s="1"/>
  <c r="B3" i="14" a="1"/>
  <c r="B3" i="14" s="1"/>
  <c r="B11" i="14" a="1"/>
  <c r="B11" i="14" s="1"/>
  <c r="B4" i="14" a="1"/>
  <c r="B4" i="14" s="1"/>
  <c r="B12" i="14" a="1"/>
  <c r="B12" i="14" s="1"/>
  <c r="B5" i="14" a="1"/>
  <c r="B5" i="14" s="1"/>
  <c r="B13" i="14" a="1"/>
  <c r="B13" i="14" s="1"/>
  <c r="B14" i="14" a="1"/>
  <c r="B14" i="14" s="1"/>
  <c r="B15" i="14" a="1"/>
  <c r="B15" i="14" s="1"/>
  <c r="B16" i="14" a="1"/>
  <c r="B16" i="14" s="1"/>
  <c r="B17" i="14" a="1"/>
  <c r="B17" i="14" s="1"/>
  <c r="B18" i="14" a="1"/>
  <c r="B18" i="14" s="1"/>
  <c r="B19" i="14" a="1"/>
  <c r="B19" i="14" s="1"/>
  <c r="B20" i="14" a="1"/>
  <c r="B20" i="14" s="1"/>
  <c r="B21" i="14" a="1"/>
  <c r="B21" i="14" s="1"/>
  <c r="B3" i="13" a="1"/>
  <c r="B3" i="13" s="1"/>
  <c r="B4" i="13" a="1"/>
  <c r="B4" i="13" s="1"/>
  <c r="B5" i="13" a="1"/>
  <c r="B5" i="13" s="1"/>
  <c r="B6" i="13" a="1"/>
  <c r="B6" i="13" s="1"/>
  <c r="B7" i="13" a="1"/>
  <c r="B7" i="13" s="1"/>
  <c r="B8" i="13" a="1"/>
  <c r="B8" i="13" s="1"/>
  <c r="B9" i="13" a="1"/>
  <c r="B9" i="13" s="1"/>
  <c r="B10" i="13" a="1"/>
  <c r="B10" i="13" s="1"/>
  <c r="B11" i="13" a="1"/>
  <c r="B11" i="13" s="1"/>
  <c r="B12" i="13" a="1"/>
  <c r="B12" i="13" s="1"/>
  <c r="B13" i="13" a="1"/>
  <c r="B13" i="13" s="1"/>
  <c r="B14" i="13" a="1"/>
  <c r="B14" i="13" s="1"/>
  <c r="B17" i="13" a="1"/>
  <c r="B17" i="13" s="1"/>
  <c r="B19" i="13" a="1"/>
  <c r="B19" i="13" s="1"/>
  <c r="B20" i="13" a="1"/>
  <c r="B20" i="13" s="1"/>
  <c r="B21" i="13" a="1"/>
  <c r="B21" i="13" s="1"/>
  <c r="B22" i="13" a="1"/>
  <c r="B22" i="13" s="1"/>
  <c r="B23" i="13" a="1"/>
  <c r="B23" i="13" s="1"/>
  <c r="B18" i="13" a="1"/>
  <c r="B18" i="13" s="1"/>
  <c r="B6" i="14" a="1"/>
  <c r="B6" i="14" s="1"/>
  <c r="B4" i="11"/>
  <c r="B3" i="11"/>
  <c r="B2" i="11"/>
  <c r="C2" i="10"/>
  <c r="C3" i="10"/>
  <c r="C4" i="10"/>
  <c r="C5" i="10"/>
  <c r="C6" i="10"/>
  <c r="F3" i="7"/>
  <c r="F4" i="7"/>
  <c r="F5" i="7"/>
  <c r="F2" i="7"/>
  <c r="C24" i="15" l="1"/>
  <c r="C6" i="15"/>
  <c r="C29" i="15"/>
  <c r="C35" i="15"/>
  <c r="C44" i="15"/>
  <c r="D51" i="15"/>
  <c r="D3" i="7"/>
  <c r="D4" i="7"/>
  <c r="D5" i="7"/>
  <c r="B2" i="10"/>
  <c r="B3" i="10"/>
  <c r="B4" i="10"/>
  <c r="B5" i="10"/>
  <c r="B6" i="10"/>
  <c r="C51" i="15" l="1"/>
  <c r="C7" i="10"/>
  <c r="B5" i="11"/>
  <c r="B7" i="10"/>
  <c r="T3" i="8" l="1"/>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2" i="8"/>
  <c r="B3" i="9" l="1"/>
  <c r="B10" i="9"/>
  <c r="B6" i="9"/>
  <c r="B9" i="9"/>
  <c r="B5" i="9"/>
  <c r="B8" i="9"/>
  <c r="B4" i="9"/>
  <c r="B7" i="9"/>
  <c r="B2" i="9"/>
  <c r="D2" i="7"/>
  <c r="C3" i="7"/>
  <c r="C4" i="7"/>
  <c r="C5" i="7"/>
  <c r="C2" i="7"/>
  <c r="B3" i="7"/>
  <c r="B4" i="7"/>
  <c r="B5" i="7"/>
  <c r="B2" i="7"/>
  <c r="C6" i="7" l="1"/>
  <c r="E6" i="7"/>
  <c r="D6" i="7"/>
  <c r="F6" i="7"/>
  <c r="B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C1E230-B34A-4B39-ADD3-F3B53D1D44F3}" keepAlive="1" name="Query - My SLR LibraryV1" description="Connection to the 'My SLR LibraryV1' query in the workbook." type="5" refreshedVersion="8" background="1" saveData="1">
    <dbPr connection="Provider=Microsoft.Mashup.OleDb.1;Data Source=$Workbook$;Location=&quot;My SLR LibraryV1&quot;;Extended Properties=&quot;&quot;" command="SELECT * FROM [My SLR LibraryV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<sst xmlns="http://schemas.openxmlformats.org/spreadsheetml/2006/main" count="7460" uniqueCount="2609">
  <si>
    <t>Type</t>
  </si>
  <si>
    <t>Author Name</t>
  </si>
  <si>
    <t>Year</t>
  </si>
  <si>
    <t>Title</t>
  </si>
  <si>
    <t>Publication date</t>
  </si>
  <si>
    <t xml:space="preserve">Title </t>
  </si>
  <si>
    <t>DOI</t>
  </si>
  <si>
    <t>Paper ID</t>
  </si>
  <si>
    <t>Link</t>
  </si>
  <si>
    <t>Database</t>
  </si>
  <si>
    <t>Column1</t>
  </si>
  <si>
    <t>Dataset</t>
  </si>
  <si>
    <t>Dataset Link</t>
  </si>
  <si>
    <t>Metrics</t>
  </si>
  <si>
    <t>Journal Article</t>
  </si>
  <si>
    <t>V. A. Ashwath; O. K. Sikha; R. Benitez</t>
  </si>
  <si>
    <t>TS-CNN: A Three-Tier Self-Interpretable CNN for Multi-Region Medical Image Classification</t>
  </si>
  <si>
    <t>IEEE ACCESS</t>
  </si>
  <si>
    <t>2023</t>
  </si>
  <si>
    <t>10.1109/ACCESS.2023.3299850</t>
  </si>
  <si>
    <t>WOS:001041887000001</t>
  </si>
  <si>
    <t>https://ieeexplore.ieee.org/stamp/stamp.jsp?arnumber=10197361</t>
  </si>
  <si>
    <t>PAD-UFES-20 dataset</t>
  </si>
  <si>
    <t>https://github.com/sikha2552/TS-CNN-A-Three-Tier-Self-Interpretable-CNN-for-Medical-Image-Classification-Empowered-with-Post-hoc</t>
  </si>
  <si>
    <t>.</t>
  </si>
  <si>
    <t>D. Bajhaiya; S. Narayanan Unni</t>
  </si>
  <si>
    <t>Deep learning-enabled detection and localization of gastrointestinal diseases using wireless-capsule endoscopic images</t>
  </si>
  <si>
    <t>Biomedical Signal Processing and Control</t>
  </si>
  <si>
    <t>2024/07/01/</t>
  </si>
  <si>
    <t/>
  </si>
  <si>
    <t>https://doi.org/10.1016/j.bspc.2024.106125</t>
  </si>
  <si>
    <t>https://www.sciencedirect.com/science/article/pii/S1746809424001836</t>
  </si>
  <si>
    <t>kvasir-capsule dataset</t>
  </si>
  <si>
    <t>https://osf.io/dv2ag/</t>
  </si>
  <si>
    <t>Conference Proceedings</t>
  </si>
  <si>
    <t>A. Bhat; A. Raychowdhury</t>
  </si>
  <si>
    <t>Reducing Overhead of Feature Importance Visualization via Static GradCAM Computation</t>
  </si>
  <si>
    <t>AICAS 2023 - IEEE International Conference on Artificial Intelligence Circuits and Systems, Proceeding</t>
  </si>
  <si>
    <t>10.1109/AICAS57966.2023.10168594</t>
  </si>
  <si>
    <t>https://www.scopus.com/inward/record.uri?eid=2-s2.0-85166375420&amp;doi=10.1109%2fAICAS57966.2023.10168594&amp;partnerID=40&amp;md5=b4ea125381ed9d581f927296b947793d</t>
  </si>
  <si>
    <t>Scopus</t>
  </si>
  <si>
    <t>https://www.cs.toronto.edu/~kriz/cifar.html</t>
  </si>
  <si>
    <t>A. R. Bhatt; A. Ganatra; K. Kotecha</t>
  </si>
  <si>
    <t>Cervical cancer detection in pap smear whole slide images using convNet with transfer learning and progressive resizing</t>
  </si>
  <si>
    <t>PEERJ COMPUTER SCIENCE</t>
  </si>
  <si>
    <t>2021 FEB 18</t>
  </si>
  <si>
    <t>10.7717/peerj-cs.348</t>
  </si>
  <si>
    <t>WOS:000620829800001</t>
  </si>
  <si>
    <t>https://peerj.com/articles/cs-348/?trk=public_post_comment-text</t>
  </si>
  <si>
    <t xml:space="preserve">SIPaKMeD </t>
  </si>
  <si>
    <t>https://paperswithcode.com/dataset/sipakmed&lt; (https://www.cs.uoi.gr/~marina/sipakmed.html)</t>
  </si>
  <si>
    <t>X. Cai; Z. Qiao; Y. Gan; J. Wu; M. Wu; H. Dong</t>
  </si>
  <si>
    <t>Sound Event Detection on Grad­CAM method with Complex Pretrained Model</t>
  </si>
  <si>
    <t>Proceedings - 2022 2nd International Conference on Computer Graphics, Image and Virtualization, ICCGIV 2022</t>
  </si>
  <si>
    <t>10.1109/ICCGIV57403.2022.00024</t>
  </si>
  <si>
    <t>https://www.scopus.com/inward/record.uri?eid=2-s2.0-85150681687&amp;doi=10.1109%2fICCGIV57403.2022.00024&amp;partnerID=40&amp;md5=7b20826697f96b5bdd0d1e8fb75ed456</t>
  </si>
  <si>
    <t>DCASE2022task4 dataset</t>
  </si>
  <si>
    <t>https://dcase.community/challenge2022/index</t>
  </si>
  <si>
    <t>PSDS2</t>
  </si>
  <si>
    <t>J. Chang; J. Lee; A. Ha; Y. S. Han; E. Bak; S. Choi; J. M. Yun; U. Kang; I. H. Shin; J. Y. Shin; T. Ko; Y. Seul; K. L. Oh; K. H. Park; S. M. Park</t>
  </si>
  <si>
    <t>Explaining the Rationale of Deep Learning Glaucoma Decisions with Adversarial Examples</t>
  </si>
  <si>
    <t>OPHTHALMOLOGY</t>
  </si>
  <si>
    <t>2021 JAN</t>
  </si>
  <si>
    <t>10.1016/j.opatha.2020.06.036</t>
  </si>
  <si>
    <t>WOS:000600748500024</t>
  </si>
  <si>
    <t>D. F. Collazos-Huertas; A. M. Álvarez-Meza; G. Castellanos-Dominguez</t>
  </si>
  <si>
    <t>Image-Based Learning Using Gradient Class Activation Maps for Enhanced Physiological Interpretability of Motor Imagery Skills</t>
  </si>
  <si>
    <t>Applied Sciences (Switzerland)</t>
  </si>
  <si>
    <t>10.3390/app12031695</t>
  </si>
  <si>
    <t>https://www.scopus.com/inward/record.uri?eid=2-s2.0-85124356263&amp;doi=10.3390%2fapp12031695&amp;partnerID=40&amp;md5=868c6dc268f93ae37f3b4ec2ec7c25a7</t>
  </si>
  <si>
    <t xml:space="preserve"> Journal MDPI</t>
  </si>
  <si>
    <t xml:space="preserve">Giga-Science </t>
  </si>
  <si>
    <t>https://gigadb.org/dataset/100295</t>
  </si>
  <si>
    <t>Accuracy</t>
  </si>
  <si>
    <t>M. De Silva; P. Kumarasinghe; K. De Zoysa; C. Keppitiyagama</t>
  </si>
  <si>
    <t>Reidentifying Asian Elephants from Ear Images Using a Cascade of Convolutional Neural Networks and Explaining with GradCAM</t>
  </si>
  <si>
    <t>SN Computer Science</t>
  </si>
  <si>
    <t>10.1007/s42979-022-01057-5</t>
  </si>
  <si>
    <t>https://www.scopus.com/inward/record.uri?eid=2-s2.0-85129707185&amp;doi=10.1007%2fs42979-022-01057-5&amp;partnerID=40&amp;md5=3af24b60f97cec486b3e6dca5512927a</t>
  </si>
  <si>
    <t>M. El Habib Daho; A. Khouani; M. E. A. Lazouni; S. A. Mahmoudi</t>
  </si>
  <si>
    <t>Explainable Deep Learning Model for COVID-19 Screening in Chest CT Images</t>
  </si>
  <si>
    <t>Lecture Notes in Networks and Systems</t>
  </si>
  <si>
    <t>10.1007/978-3-030-73882-2_89</t>
  </si>
  <si>
    <t>https://www.scopus.com/inward/record.uri?eid=2-s2.0-85111331898&amp;doi=10.1007%2f978-3-030-73882-2_89&amp;partnerID=40&amp;md5=42cd157847d8fdcef292d60fccfb986f</t>
  </si>
  <si>
    <t xml:space="preserve">SARS-CoV-2 CT-scan </t>
  </si>
  <si>
    <t>https://www.medrxiv.org/content/10.1101/2020.04.24.20078584v3</t>
  </si>
  <si>
    <t>E. Ennadifi; S. Laraba; D. Vincke; B. Mercatoris; B. Gosselin</t>
  </si>
  <si>
    <t>Wheat Diseases Classification and Localization Using Convolutional Neural Networks and GradCAM Visualization</t>
  </si>
  <si>
    <t>2020 International Conference on Intelligent Systems and Computer Vision, ISCV 2020</t>
  </si>
  <si>
    <t>10.1109/ISCV49265.2020.9204258</t>
  </si>
  <si>
    <t>https://www.scopus.com/inward/record.uri?eid=2-s2.0-85093829351&amp;doi=10.1109%2fISCV49265.2020.9204258&amp;partnerID=40&amp;md5=69751b3ad91ceba11c9f2f6fe9420273</t>
  </si>
  <si>
    <t>Accuracy, Training time</t>
  </si>
  <si>
    <t>R. Golash; U. Gupta; V. Vats; K. Sharma; K. Golash</t>
  </si>
  <si>
    <t>Unveiling the Opacity: Exploring Rationality and Explainability in Tomato Disease Classification</t>
  </si>
  <si>
    <t>2023 2nd International Conference on Smart Technologies for Smart Nation, SmartTechCon 2023</t>
  </si>
  <si>
    <t>10.1109/SmartTechCon57526.2023.10391741</t>
  </si>
  <si>
    <t>https://www.scopus.com/inward/record.uri?eid=2-s2.0-85184810534&amp;doi=10.1109%2fSmartTechCon57526.2023.10391741&amp;partnerID=40&amp;md5=606cb96e6cc031b37632ae99b103c05f</t>
  </si>
  <si>
    <t>https://plantvillage.psu.edu/</t>
  </si>
  <si>
    <t>N. A. Hroub; A. N. Alsannaa; M. Alowaifeer; M. Alfarraj; E. Okafor</t>
  </si>
  <si>
    <t>Explainable deep learning diagnostic system for prediction of lung disease from medical images</t>
  </si>
  <si>
    <t>COMPUTERS IN BIOLOGY AND MEDICINE</t>
  </si>
  <si>
    <t>2024 MAR</t>
  </si>
  <si>
    <t>10.1016/j.compbiomed.2024.108012</t>
  </si>
  <si>
    <t>WOS:001171926500001</t>
  </si>
  <si>
    <t>https://www.sciencedirect.com/science/article/pii/S0010482524000969</t>
  </si>
  <si>
    <t>chest X-ray datasets</t>
  </si>
  <si>
    <t>https://www.kaggle.com/datasets/prashant268/chest-xray-covid19-pneumonia</t>
  </si>
  <si>
    <t>X. A. Inbaraj; J. H. Jeng</t>
  </si>
  <si>
    <t>Mask-GradCAM: Object Identification and Localization of Visual Presentation for Deep Convolutional Network</t>
  </si>
  <si>
    <t>Proceedings of the 6th International Conference on Inventive Computation Technologies, ICICT 2021</t>
  </si>
  <si>
    <t>10.1109/ICICT50816.2021.9358569</t>
  </si>
  <si>
    <t>https://www.scopus.com/inward/record.uri?eid=2-s2.0-85102560062&amp;doi=10.1109%2fICICT50816.2021.9358569&amp;partnerID=40&amp;md5=c300a8eb38b8a93b1a433a3c5078b25a</t>
  </si>
  <si>
    <t>N/A</t>
  </si>
  <si>
    <t>No detail provided</t>
  </si>
  <si>
    <t>S. Jain; A. Seal; A. Ojha; A. Yazidi; J. Bures; I. Tacheci; O. Krejcar</t>
  </si>
  <si>
    <t>A deep CNN model for anomaly detection and localization in wireless capsule endoscopy images</t>
  </si>
  <si>
    <t>Computers in Biology and Medicine</t>
  </si>
  <si>
    <t>2021/10/01/</t>
  </si>
  <si>
    <t>https://doi.org/10.1016/j.compbiomed.2021.104789</t>
  </si>
  <si>
    <t>https://www.sciencedirect.com/science/article/pii/S0010482521005837</t>
  </si>
  <si>
    <t>KID dataset</t>
  </si>
  <si>
    <t>https://hcup-us.ahrq.gov/db/nation/kid/kiddbdocumentation.jsp</t>
  </si>
  <si>
    <t>V. Jain; O. Nankar; D. J. Jerrish; S. Gite; S. Patil; K. Kotecha</t>
  </si>
  <si>
    <t>A Novel AI-Based System for Detection and Severity Prediction of Dementia Using MRI</t>
  </si>
  <si>
    <t>2021</t>
  </si>
  <si>
    <t>10.1109/ACCESS.2021.3127394</t>
  </si>
  <si>
    <t>WOS:000721988800001</t>
  </si>
  <si>
    <t>https://ieeexplore.ieee.org/abstract/document/9611247</t>
  </si>
  <si>
    <t>Dementia dataset</t>
  </si>
  <si>
    <t>https://www.kaggle.com/datasets/shashwatwork/dementia-prediction-dataset</t>
  </si>
  <si>
    <t>Book Section</t>
  </si>
  <si>
    <t>M. S. Jamil; S. P. Banik; G. M. A. Rahaman; S. Saha</t>
  </si>
  <si>
    <t>Advanced GradCAM++: Improved visual explanations of CNN decisions in diabetic retinopathy</t>
  </si>
  <si>
    <t>Computer Vision and Image Analysis for Industry 4.0</t>
  </si>
  <si>
    <t>https://www.scopus.com/inward/record.uri?eid=2-s2.0-85161149678&amp;partnerID=40&amp;md5=9765291af356700831c028689b522a46</t>
  </si>
  <si>
    <t>L. Jiao; W. Gao; R. Bie; A. Umek; A. Kos</t>
  </si>
  <si>
    <t>Golf Guided Grad-CAM: attention visualization within golf swings via guided gradient-based class activation mapping</t>
  </si>
  <si>
    <t>MULTIMEDIA TOOLS AND APPLICATIONS</t>
  </si>
  <si>
    <t>10.1007/s11042-023-17153-4</t>
  </si>
  <si>
    <t>K. Jitha; P. Mohammed Waleed; K. Navas; C. M. Nihad Ahmed; C. P. Najiya Nasrin</t>
  </si>
  <si>
    <t>Deep Learning and Grad-CAM for the Diagnosis of Pneumonia Based on X-Rays</t>
  </si>
  <si>
    <t>Proceedings - 2023 International Conference on Innovations in Engineering and Technology, ICIET 2023</t>
  </si>
  <si>
    <t>10.1109/ICIET57285.2023.10220839</t>
  </si>
  <si>
    <t>https://www.scopus.com/inward/record.uri?eid=2-s2.0-85171524411&amp;doi=10.1109%2fICIET57285.2023.10220839&amp;partnerID=40&amp;md5=646ec919f0f808164e3f078f5967a741</t>
  </si>
  <si>
    <t>Pneumonia dataset</t>
  </si>
  <si>
    <t>Private Dataset</t>
  </si>
  <si>
    <t>M. Karki; K. Kantipudi; F. Yang; H. Yu; Y. X. J. Wang; Z. Yaniv; S. Jaeger</t>
  </si>
  <si>
    <t>Generalization Challenges in Drug-Resistant Tuberculosis Detection from Chest X-rays</t>
  </si>
  <si>
    <t>DIAGNOSTICS</t>
  </si>
  <si>
    <t>2022 JAN</t>
  </si>
  <si>
    <t>10.3390/diagnostics12010188</t>
  </si>
  <si>
    <t>WOS:000746962500001</t>
  </si>
  <si>
    <t>https://www.mdpi.com/2075-4418/12/1/188</t>
  </si>
  <si>
    <t>CXR dataset</t>
  </si>
  <si>
    <t>https://github.com/v7labs/covid-19-xray-dataset</t>
  </si>
  <si>
    <t>AUC, Accuracy</t>
  </si>
  <si>
    <t>A. Kumar; S. B. Singh; S. C. Satapathy; M. Rout</t>
  </si>
  <si>
    <t>MOSQUITO-NET: A deep learning based CADx system for malaria diagnosis along with model interpretation using GradCam and class activation maps</t>
  </si>
  <si>
    <t>Expert Systems</t>
  </si>
  <si>
    <t>10.1111/exsy.12695</t>
  </si>
  <si>
    <t>https://www.scopus.com/inward/record.uri?eid=2-s2.0-85102651015&amp;doi=10.1111%2fexsy.12695&amp;partnerID=40&amp;md5=489719e06db29aef5c68331216224d0b</t>
  </si>
  <si>
    <t>Malaria dataset</t>
  </si>
  <si>
    <t>S. Kusunose; Y. Shinomiya; T. Ushiwaka; N. Maeda; Y. Hoshino</t>
  </si>
  <si>
    <t>Improving Individually Selectness for Immune Cells using GradCAM</t>
  </si>
  <si>
    <t>2021 5th IEEE International Conference on Cybernetics, CYBCONF 2021</t>
  </si>
  <si>
    <t>10.1109/CYBCONF51991.2021.9464134</t>
  </si>
  <si>
    <t>https://www.scopus.com/inward/record.uri?eid=2-s2.0-85113749231&amp;doi=10.1109%2fCYBCONF51991.2021.9464134&amp;partnerID=40&amp;md5=7489d6d47de8e9b798c8ca31d548912b</t>
  </si>
  <si>
    <t>Z. Lai; L. C. Oliveira; R. Guo; W. Xu; Z. Hu; K. Mifflin; C. Decarli; S.-C. Cheung; C.-N. Chuah; B. N. Dugger</t>
  </si>
  <si>
    <t>BrainSec: Automated Brain Tissue Segmentation Pipeline for Scalable Neuropathological Analysis</t>
  </si>
  <si>
    <t>2022</t>
  </si>
  <si>
    <t>10.1109/ACCESS.2022.3171927</t>
  </si>
  <si>
    <t>WOS:000797423700001</t>
  </si>
  <si>
    <t>https://ieeexplore.ieee.org/abstract/document/9766171</t>
  </si>
  <si>
    <t>Whole Slide Images (WSIs) dataset</t>
  </si>
  <si>
    <t>J. Maximino; M. Coimbra; J. Pedrosa</t>
  </si>
  <si>
    <t>Detection of COVID-19 in Point of Care Lung Ultrasound</t>
  </si>
  <si>
    <t>2022 44th Annual International Conference of the IEEE Engineering in Medicine &amp; Biology Society (EMBC)</t>
  </si>
  <si>
    <t>11-15 July 2022</t>
  </si>
  <si>
    <t>10.1109/EMBC48229.2022.9871235</t>
  </si>
  <si>
    <t>https://ieeexplore.ieee.org/abstract/document/9871235</t>
  </si>
  <si>
    <t>POCOVID</t>
  </si>
  <si>
    <t>https://github.com/jannisborn/covid19_ultrasound</t>
  </si>
  <si>
    <t>G. Mettivier; R. Ricciardi; A. Sarno; F. S. Maddaloni; M. Porzio; M. Staffa; S. Minelli; A. Santoro; E. Antignani; M. Masi; V. Landoni; P. Ordonez; F. Ferranti; L. Greco; S. Clemente; P. Russo</t>
  </si>
  <si>
    <t>DeepLook: A deep learning computed diagnosis support for breast tomosynthesis</t>
  </si>
  <si>
    <t>Proceedings of SPIE - The International Society for Optical Engineering</t>
  </si>
  <si>
    <t>10.1117/12.2625369</t>
  </si>
  <si>
    <t>https://www.scopus.com/inward/record.uri?eid=2-s2.0-85136130200&amp;doi=10.1117%2f12.2625369&amp;partnerID=40&amp;md5=530e4632c3249279cb1b8bb57b46b5c2</t>
  </si>
  <si>
    <t>H. E. Mohamadi; M. E. Hassouni</t>
  </si>
  <si>
    <t>Enhanced Deep Learning Explainability for COVID-19 Diagnosis from Chest X-ray Images by Fusing Texture and Shape Features</t>
  </si>
  <si>
    <t>Proceedings - 10th International Conference on Wireless Networks and Mobile Communications, WINCOM 2023</t>
  </si>
  <si>
    <t>10.1109/WINCOM59760.2023.10322952</t>
  </si>
  <si>
    <t>https://www.scopus.com/inward/record.uri?eid=2-s2.0-85179508570&amp;doi=10.1109%2fWINCOM59760.2023.10322952&amp;partnerID=40&amp;md5=4c797ab7f52568c378255bb9a4450a6a</t>
  </si>
  <si>
    <t>H. Nasiri; G. Kheyroddin; M. Dorrigiv; M. Esmaeili; A. R. Nafchi; M. H. Ghorbani; P. Zarkesh-Ha</t>
  </si>
  <si>
    <t>Classification of COVID-19 in Chest X-ray Images Using Fusion of Deep Features and LightGBM</t>
  </si>
  <si>
    <t>2022 IEEE World AI IoT Congress (AIIoT)</t>
  </si>
  <si>
    <t>6-9 June 2022</t>
  </si>
  <si>
    <t>10.1109/AIIoT54504.2022.9817375</t>
  </si>
  <si>
    <t>https://ieeexplore.ieee.org/abstract/document/9817375</t>
  </si>
  <si>
    <t>ChestX-ray8 dataset</t>
  </si>
  <si>
    <t>https://openaccess.thecvf.com/content_cvpr_2017/html/Wang_ChestX-ray8_Hospital-Scale_Chest_CVPR_2017_paper.html</t>
  </si>
  <si>
    <t>P. X. Nguyen; H. Q. Cao; K. V. T. Nguyen; H. Nguyen; T. Yairi</t>
  </si>
  <si>
    <t>SeCAM: Tightly Accelerate the Image Explanation via Region-Based Segmentation</t>
  </si>
  <si>
    <t>IEICE TRANSACTIONS ON INFORMATION AND SYSTEMS</t>
  </si>
  <si>
    <t>2022 AUG</t>
  </si>
  <si>
    <t>10.1587/transinf.2021EDP7205</t>
  </si>
  <si>
    <t>WOS:000836845200005</t>
  </si>
  <si>
    <t>https://search.ieice.org/bin/summary.php?id=e105-d_8_1401</t>
  </si>
  <si>
    <t>K. Niranjan; S. Shankar Kumar; S. Vedanth; D. S. Chitrakala</t>
  </si>
  <si>
    <t>An Explainable AI driven Decision Support System for COVID-19 Diagnosis using Fused Classification and Segmentation</t>
  </si>
  <si>
    <t>Procedia Computer Science</t>
  </si>
  <si>
    <t>2023/01/01/</t>
  </si>
  <si>
    <t>https://doi.org/10.1016/j.procs.2023.01.168</t>
  </si>
  <si>
    <t>https://www.sciencedirect.com/science/article/pii/S1877050923001680</t>
  </si>
  <si>
    <t>CT scan dataset</t>
  </si>
  <si>
    <t>https://github.com/UCSD-AI4H/COVID-CT</t>
  </si>
  <si>
    <t>Accuracy, Precision, Recll, F1−Score</t>
  </si>
  <si>
    <t>A. H. Ornek; M. Ceylan</t>
  </si>
  <si>
    <t>HayCAM: A Novel Visual Explanation for Deep Convolutional Neural Networks</t>
  </si>
  <si>
    <t>TRAITEMENT DU SIGNAL</t>
  </si>
  <si>
    <t>2022 OCT</t>
  </si>
  <si>
    <t>10.18280/ts.390529</t>
  </si>
  <si>
    <t>WOS:000907630800022</t>
  </si>
  <si>
    <t>I. Palatnik de Sousa; M. M. B. R. Vellasco; E. Costa da Silva</t>
  </si>
  <si>
    <t>Explainable Artificial Intelligence for Bias Detection in COVID CT-Scan Classifiers</t>
  </si>
  <si>
    <t>SENSORS</t>
  </si>
  <si>
    <t>2021 AUG</t>
  </si>
  <si>
    <t>10.3390/s21165657</t>
  </si>
  <si>
    <t>WOS:000689893900001</t>
  </si>
  <si>
    <t>https://www.mdpi.com/1424-8220/21/16/5657</t>
  </si>
  <si>
    <t>S. Park; C. Wallraven</t>
  </si>
  <si>
    <t>Comparing Facial Expression Recognition in Humans and Machines: Using CAM, GradCAM, and Extremal Perturbation</t>
  </si>
  <si>
    <t>Lecture Notes in Computer Science (including subseries Lecture Notes in Artificial Intelligence and Lecture Notes in Bioinformatics)</t>
  </si>
  <si>
    <t>10.1007/978-3-031-02375-0_30</t>
  </si>
  <si>
    <t>https://www.scopus.com/inward/record.uri?eid=2-s2.0-85130341946&amp;doi=10.1007%2f978-3-031-02375-0_30&amp;partnerID=40&amp;md5=831c755d4dbb4c7cc508c6f867ed7cc8</t>
  </si>
  <si>
    <t>AffectNet dataset</t>
  </si>
  <si>
    <t>https://paperswithcode.com/dataset/affectnet</t>
  </si>
  <si>
    <t>M. I. Patel; S. Singla; R. A. Ali Mattathodi; S. Sharma; D. Gautam; S. R. Kundeti</t>
  </si>
  <si>
    <t>Simulating Realistic MRI variations to Improve Deep Learning model and visual explanations using GradCAM</t>
  </si>
  <si>
    <t>Proceedings - 2021 IEEE International Conference on Cloud Computing in Emerging Markets, CCEM 2021</t>
  </si>
  <si>
    <t>10.1109/CCEM53267.2021.00011</t>
  </si>
  <si>
    <t>https://www.scopus.com/inward/record.uri?eid=2-s2.0-85128330243&amp;doi=10.1109%2fCCEM53267.2021.00011&amp;partnerID=40&amp;md5=20beb7cb25babda5e8c0dc6a4857db72</t>
  </si>
  <si>
    <t>OASIS-3 dataset</t>
  </si>
  <si>
    <t>https://www.oasis-brains.org/</t>
  </si>
  <si>
    <t>V. K. Prasad; K. M. N. Raj; S. Muthya; R. S. Nair</t>
  </si>
  <si>
    <t>Development and validation of ECG rhythm classification on a multitude of data sources using Deep Learning</t>
  </si>
  <si>
    <t>2021 IEEE 9th International Conference on Healthcare Informatics (ICHI)</t>
  </si>
  <si>
    <t>9-12 Aug. 2021</t>
  </si>
  <si>
    <t>10.1109/ICHI52183.2021.00026</t>
  </si>
  <si>
    <t>https://ieeexplore.ieee.org/abstract/document/9565704</t>
  </si>
  <si>
    <t>MIT-BIH ARRHYTHMIA DATASET</t>
  </si>
  <si>
    <t>Signal dataset</t>
  </si>
  <si>
    <t>N. S. Punn; S. Agarwal</t>
  </si>
  <si>
    <t>CHS-Net: A Deep Learning Approach for Hierarchical Segmentation of COVID-19 via CT Images</t>
  </si>
  <si>
    <t>NEURAL PROCESSING LETTERS</t>
  </si>
  <si>
    <t>10.1007/s11063-022-10785-x</t>
  </si>
  <si>
    <t>WOS:000769826600001</t>
  </si>
  <si>
    <t>https://link.springer.com/article/10.1007/s11063-022-10785-x</t>
  </si>
  <si>
    <t xml:space="preserve">COVID-19 CT </t>
  </si>
  <si>
    <t>https://github.com/nspunn1993/CHS-Net-COVID-19-hierarchical-segmentation-network</t>
  </si>
  <si>
    <t>P. V. R; U. Shanmugam</t>
  </si>
  <si>
    <t>Explainable AI for Medical Imaging: Advancing Transparency and Trust in Diagnostic Decision-Making</t>
  </si>
  <si>
    <t>2023 Innovations in Power and Advanced Computing Technologies (i-PACT)</t>
  </si>
  <si>
    <t>8-10 Dec. 2023</t>
  </si>
  <si>
    <t>10.1109/i-PACT58649.2023.10434658</t>
  </si>
  <si>
    <t>https://ieeexplore.ieee.org/abstract/document/10434658</t>
  </si>
  <si>
    <t>X-ray, MRI, and CT scans</t>
  </si>
  <si>
    <t>R. Rahman; M. G. R. Alam; M. T. Reza; A. Huq; G. Jeon; M. Z. Uddin; M. M. Hassan</t>
  </si>
  <si>
    <t>Demystifying evidential Dempster Shafer-based CNN architecture for fetal plane detection from 2D ultrasound images leveraging fuzzy-contrast enhancement and explainable AI</t>
  </si>
  <si>
    <t>ULTRASONICS</t>
  </si>
  <si>
    <t>2023 JUL</t>
  </si>
  <si>
    <t>10.1016/j.ultras.2023.107017</t>
  </si>
  <si>
    <t>WOS:001004389700001</t>
  </si>
  <si>
    <t>https://www.sciencedirect.com/science/article/pii/S0041624X23000938</t>
  </si>
  <si>
    <t>Ultrasound images</t>
  </si>
  <si>
    <t>M. Raju; V. P. Gopi; V. S. Anitha; A. Sherawat</t>
  </si>
  <si>
    <t>Early diagnosis of Alzhiemer's disease using wavelet-pooling based deep convolutional neural network</t>
  </si>
  <si>
    <t>SADHANA-ACADEMY PROCEEDINGS IN ENGINEERING SCIENCES</t>
  </si>
  <si>
    <t>10.1007/s12046-023-02219-8</t>
  </si>
  <si>
    <t>K. Rana; A. Pandey; P. Goyal; G. Singh; P. Goyal</t>
  </si>
  <si>
    <t>A novel privacy protection approach with better human imperceptibility</t>
  </si>
  <si>
    <t>APPLIED INTELLIGENCE</t>
  </si>
  <si>
    <t>10.1007/s10489-023-04592-7</t>
  </si>
  <si>
    <t>G. Rani; A. Misra; V. S. Dhaka; D. Buddhi; R. K. Sharma; E. Zumpano; E. Vocaturo</t>
  </si>
  <si>
    <t>A multi-modal bone suppression, lung segmentation, and classification approach for accurate COVID-19 detection using chest radiographs</t>
  </si>
  <si>
    <t>Intelligent Systems with Applications</t>
  </si>
  <si>
    <t>2022/11/01/</t>
  </si>
  <si>
    <t>https://doi.org/10.1016/j.iswa.2022.200148</t>
  </si>
  <si>
    <t>https://www.sciencedirect.com/science/article/pii/S2667305322000850</t>
  </si>
  <si>
    <t>COVID-Pneumonia CXR</t>
  </si>
  <si>
    <t>https://github.com/ieee8023/covid-chestxray-dataset</t>
  </si>
  <si>
    <t>U. Rashmi; B. M. Beena; S. Ambesange</t>
  </si>
  <si>
    <t>BrainCrossFed CNN Model for Alzheimer Classification using MRI data and Comparison and Benchmarking proposed model with DINOv2 and ExplainableAI using GradCAM</t>
  </si>
  <si>
    <t>2023 International Conference on the Confluence of Advancements in Robotics, Vision and Interdisciplinary Technology Management (IC-RVITM)</t>
  </si>
  <si>
    <t>28-29 Nov. 2023</t>
  </si>
  <si>
    <t>10.1109/IC-RVITM60032.2023.10435182</t>
  </si>
  <si>
    <t>https://ieeexplore.ieee.org/abstract/document/10435182</t>
  </si>
  <si>
    <t>ALZHEIMER'S DATASET</t>
  </si>
  <si>
    <t>R. H. Rifat; A. C. Shruti; M. Kamal; M. G. R. Alam</t>
  </si>
  <si>
    <t>Privacy-Preserving Knee Osteoarthritis Classification: A Federated Learning Approach with GradCAM Visualization</t>
  </si>
  <si>
    <t>2023 26th International Conference on Computer and Information Technology (ICCIT)</t>
  </si>
  <si>
    <t>13-15 Dec. 2023</t>
  </si>
  <si>
    <t>10.1109/ICCIT60459.2023.10441001</t>
  </si>
  <si>
    <t>https://ieeexplore.ieee.org/abstract/document/10441001</t>
  </si>
  <si>
    <t>Knee osteoarthritis severity grading dataset</t>
  </si>
  <si>
    <t>https://www.ncbi.nlm.nih.gov/pmc/articles/PMC9410095/</t>
  </si>
  <si>
    <t>J. Schneider; M. Vlachos</t>
  </si>
  <si>
    <t>Reflective-net: learning from explanations</t>
  </si>
  <si>
    <t>Data Mining and Knowledge Discovery</t>
  </si>
  <si>
    <t>10.1007/s10618-023-00920-0</t>
  </si>
  <si>
    <t>https://www.scopus.com/inward/record.uri?eid=2-s2.0-85148039931&amp;doi=10.1007%2fs10618-023-00920-0&amp;partnerID=40&amp;md5=569b8404b41ca22ce4649a8f98ff3426</t>
  </si>
  <si>
    <t>Fashion-mnist</t>
  </si>
  <si>
    <t>https://github.com/zalandoresearch/fashion-mnist</t>
  </si>
  <si>
    <t>A. Schottl</t>
  </si>
  <si>
    <t>A Light-weight Method to Foster the (Grad)CAM Interpretability and Explainability of Classification Networks</t>
  </si>
  <si>
    <t>Proceedings - International Conference on Advanced Computer Information Technologies, ACIT</t>
  </si>
  <si>
    <t>10.1109/ACIT49673.2020.9208950</t>
  </si>
  <si>
    <t>https://www.scopus.com/inward/record.uri?eid=2-s2.0-85094097648&amp;doi=10.1109%2fACIT49673.2020.9208950&amp;partnerID=40&amp;md5=be4fbb5d5fc2235731ce20492f77e6cb</t>
  </si>
  <si>
    <t>PASCAL VOC 2012 datase</t>
  </si>
  <si>
    <t>A. Schöttl</t>
  </si>
  <si>
    <t>Improving the Interpretability of GradCAMs in Deep Classification Networks</t>
  </si>
  <si>
    <t>10.1016/j.procs.2022.01.260</t>
  </si>
  <si>
    <t>https://www.scopus.com/inward/record.uri?eid=2-s2.0-85127740915&amp;doi=10.1016%2fj.procs.2022.01.260&amp;partnerID=40&amp;md5=88694e89dce47995239a24a92e580d64</t>
  </si>
  <si>
    <t>https://www.image-net.org/challenges/LSVRC/2012/</t>
  </si>
  <si>
    <t>R. R. Selvaraju; M. Cogswell; A. Das; R. Vedantam; D. Parikh; D. Batra</t>
  </si>
  <si>
    <t>Grad-CAM: Visual Explanations from Deep Networks via Gradient-Based Localization</t>
  </si>
  <si>
    <t>INTERNATIONAL JOURNAL OF COMPUTER VISION</t>
  </si>
  <si>
    <t>2020 FEB</t>
  </si>
  <si>
    <t>10.1007/s11263-019-01228-7</t>
  </si>
  <si>
    <t>WOS:000511807100003</t>
  </si>
  <si>
    <t>https://openaccess.thecvf.com/content_iccv_2017/html/Selvaraju_Grad-CAM_Visual_Explanations_ICCV_2017_paper.html</t>
  </si>
  <si>
    <t>Dataset bias</t>
  </si>
  <si>
    <t>https://github.com/ramprs/grad-cam/</t>
  </si>
  <si>
    <t>B. S. Sharmila; H. S. Santhosh; S. Parameshwara; M. S. Swamy; W. H. Baig; S. V. Nanditha</t>
  </si>
  <si>
    <t>Optimizing Deep Learning Networks for Edge Devices with an Instance of Skin Cancer and Corn Leaf Disease Dataset</t>
  </si>
  <si>
    <t>10.1007/s42979-023-02239-5</t>
  </si>
  <si>
    <t>https://www.scopus.com/inward/record.uri?eid=2-s2.0-85174151165&amp;doi=10.1007%2fs42979-023-02239-5&amp;partnerID=40&amp;md5=a4637bc54f9b7f42bf86b12bb6c559e5</t>
  </si>
  <si>
    <t>S. Singh; P. K. Jain; N. Sharma; M. Pohit; S. Roy</t>
  </si>
  <si>
    <t>Atherosclerotic plaque classification in carotid ultrasound images using machine learning and explainable deep learning</t>
  </si>
  <si>
    <t>Intelligent Medicine</t>
  </si>
  <si>
    <t>2023/07/01/</t>
  </si>
  <si>
    <t>https://doi.org/10.1016/j.imed.2023.05.003</t>
  </si>
  <si>
    <t>https://www.sciencedirect.com/science/article/pii/S2667102623000414</t>
  </si>
  <si>
    <t>ultrasound images</t>
  </si>
  <si>
    <t xml:space="preserve">http://splab.cz/en/download/databaze/ultrasound </t>
  </si>
  <si>
    <t>B. Tasci</t>
  </si>
  <si>
    <t>Attention Deep Feature Extraction from Brain MRIs in Explainable Mode: DGXAINet</t>
  </si>
  <si>
    <t>2023 MAR</t>
  </si>
  <si>
    <t>10.3390/diagnostics13050859</t>
  </si>
  <si>
    <t>WOS:000947696800001</t>
  </si>
  <si>
    <t>S. Tummala; S. Kadry; A. Nadeem; H. T. Rauf; N. Gul</t>
  </si>
  <si>
    <t>An Explainable Classification Method Based on Complex Scaling in Histopathology Images for Lung and Colon Cancer</t>
  </si>
  <si>
    <t>2023 APR 29</t>
  </si>
  <si>
    <t>10.3390/diagnostics13091594</t>
  </si>
  <si>
    <t>WOS:000986652400001</t>
  </si>
  <si>
    <t>D. Varam; R. Mitra; M. Mkadmi; R. A. Riyas; D. A. Abuhani; S. Dhou; A. Alzaatreh</t>
  </si>
  <si>
    <t>Wireless Capsule Endoscopy Image Classification: An Explainable AI Approach</t>
  </si>
  <si>
    <t>10.1109/ACCESS.2023.3319068</t>
  </si>
  <si>
    <t>WOS:001081607200001</t>
  </si>
  <si>
    <t>Name of Database</t>
  </si>
  <si>
    <t>Reference Type</t>
  </si>
  <si>
    <t>Author</t>
  </si>
  <si>
    <t>Secondary Title</t>
  </si>
  <si>
    <t>Volume</t>
  </si>
  <si>
    <t>Number</t>
  </si>
  <si>
    <t>Pages</t>
  </si>
  <si>
    <t>Publisher</t>
  </si>
  <si>
    <t>Place Published</t>
  </si>
  <si>
    <t>URL</t>
  </si>
  <si>
    <t>Keywords</t>
  </si>
  <si>
    <t>Abstract</t>
  </si>
  <si>
    <t>MDPI</t>
  </si>
  <si>
    <t>ScienceDirect</t>
  </si>
  <si>
    <t>Computer Methods and Programs in Biomedicine</t>
  </si>
  <si>
    <t>Artificial Intelligence in Medicine</t>
  </si>
  <si>
    <t>Academic Press</t>
  </si>
  <si>
    <t>Information Processing &amp; Management</t>
  </si>
  <si>
    <t>Engineering Applications of Artificial Intelligence</t>
  </si>
  <si>
    <t>Elsevier</t>
  </si>
  <si>
    <t>IEEE Xplore</t>
  </si>
  <si>
    <t>IEEE Access</t>
  </si>
  <si>
    <t>ICASSP 2023 - 2023 IEEE International Conference on Acoustics, Speech and Signal Processing (ICASSP)</t>
  </si>
  <si>
    <t>2022 IEEE Asia-Pacific Conference on Computer Science and Data Engineering (CSDE)</t>
  </si>
  <si>
    <t>78402-78418</t>
  </si>
  <si>
    <t>Medical image classification is critical, where reliability and transparency are crucial for the safe and accurate diagnosis of diseases. Deep Convolutional Neural Networks (DCNNs) are widely used in medical image classification due to their high performance. However, they are often considered black-boxes because they offer little insight into decision-making. Therefore, improving the interpretability of DCNNs is crucial for their adoption in medical diagnoses. This paper proposes a novel three-tier self-interpretable DCNN (TS-CNN) architecture for multi-region medical image classification, which improves classification performance while being inherently interpretable. The proposed TS-CNN architecture is well-suited for medical images with multiple regions, such as images with scattered and randomly shaped lesions. The proposed architecture has three branches: a global branch that learns the relevant patterns from the raw input image; an attention branch that selects the important regions and discards the irrelevant parts for the local branch to learn; and a fusion branch that distills knowledge from both the global and local branches for classification. The proposed architecture is flexible in terms of the backbone CNNs used for classification and post-hoc interpretability methods used for attention capture. We demonstrate the flexibility and generalization of the architecture through a series of experiments involving multiple state-of-the-art CNN architectures such as DenseNet-121, Inception, Xception, and ResNet-50 as the global/local branches, each paired with GradCAM and Saliency maps as attention modules. The proposed architecture outperformed the backbone model in classification tasks on two datasets: a custom-made blob dataset and a publicly available skin lesion PAD-UFES-20 dataset, demonstrating its potential for improving accuracy in medical image classification tasks. The code related to this work can be found at: https://github.com/sikha2552/TS-CNN-A-Three-Tier-Self-Interpretable-CNN-for-Medical-Image-Classification-Empowered-with-Post-hoc.git.</t>
  </si>
  <si>
    <t>IEEE Transactions on Neural Networks and Learning Systems</t>
  </si>
  <si>
    <t>S. Chakraborty; K. Kumar; B. P. Reddy; T. Meena; S. Roy</t>
  </si>
  <si>
    <t>An Explainable AI based Clinical Assistance Model for Identifying Patients with the Onset of Sepsis</t>
  </si>
  <si>
    <t>2023 IEEE 24th International Conference on Information Reuse and Integration for Data Science (IRI)</t>
  </si>
  <si>
    <t>297-302</t>
  </si>
  <si>
    <t>10.1109/IRI58017.2023.00059</t>
  </si>
  <si>
    <t>The high mortality rate of sepsis, especially in Intensive Care Unit (ICU) makes it third-highest mortality disease globally. The treatment of sepsis is also time consuming and depends on multi-parametric tests, hence early identification of patients with sepsis becomes crucial. The recent rise in the development of Artificial Intelligence (AI) based models, especially in early prediction of sepsis, have improved the patient outcome. However, drawbacks like low sensitivity, use of excess features that leads to overfitting, and lack of interpretability limit their ability to be used in a clinical setting. So, in this research we have developed a smart, explainable and a highly accurate AI based model (called XAutoNet) that provides quick and early prediction of sepsis with a minimal number of features as input. An application based novel convolutional neural network (CNN) based autoencoder is also implemented that improves the performance of XAutoNet by dimensional reduction. Finally, to unbox the “Black Box” nature of these models, Gradient based Class Activation Map (GradCAM) and SHapley Additive exPlanations (SHAP) are implemented to provide interpretability of autoencoder and XAutoNet in the form of visualization graphs to assist clinicians in diagnosis and treatment.</t>
  </si>
  <si>
    <t>IEEE Journal of Biomedical and Health Informatics</t>
  </si>
  <si>
    <t>154324-154346</t>
  </si>
  <si>
    <t>Dementia is a symptom of Alzheimer’s Disease (A.D.) that affects many people around the globe each year. There is no effective cure to treat this disease, and it can prove to be deadly to the patient if left untreated or undetected. In this paper, the authors propose a novel DCGAN-based Augmentation and Classification (D-BAC) model approach to identify and classify dementia into various categories depending upon its prominence and severity in the available MRI scans. The proposed detection of early onset of dementia, also referred to as Mild Cognitive Impairment (MCI), is also studied with the help of a novel GAN-augmented dataset. The proposed model can predict MCI with an accuracy of 74% and can classify dementia into four categories depending upon its prominence in the MRI scan. The authors have also utilized Visual Explainable A.I. (XAI) and have used GradCAM to visually represent the internal working of the model. This novel approach helps verify the differentiating features of the MRI scans learned by the CNN model during training. Three different datasets, namely the original dataset, geometrically transformed images, and a GAN-augmented dataset, have been used for performance analysis. A comparison of the performance of the CNN model has been made on these datasets, and the superiority of results using the novel GAN-augmented dataset has been studied and discussed. Moreover, progressive resizing has also been applied on this GAN-dataset, and different CNN architectures have also been used to achieve better performance scores. The model proposed in the end has a training accuracy of 97% and a testing accuracy of 82% when tested using a conventional CNN architecture and has a testing accuracy of 84% and 87% when tested using VGG-16 and VGG-19 architecture, respectively.</t>
  </si>
  <si>
    <t>S. M. Javali; R. S. Upadhyayula; T. De</t>
  </si>
  <si>
    <t>Comparative study of xAI layer-wise algorithms with a Robust Recommendation framework of Inductive Clustering for Polyp Segmentation and Classification</t>
  </si>
  <si>
    <t>2021 International Seminar on Machine Learning, Optimization, and Data Science (ISMODE)</t>
  </si>
  <si>
    <t>325-330</t>
  </si>
  <si>
    <t>10.1109/ISMODE53584.2022.9743003</t>
  </si>
  <si>
    <t>Explainable Artificial Intelligence (xAI) is aimed at unboxing the AI model choices by providing interpretable explanations mitigating the black-box nature of algorithms and improving the transparency. Availability of many xAI techniques for medical imaging studies, necessitates a need to understand and pick a suitable approach for different stakeholders (clinician/patient). Interpretation of model predictions could be benefitted by comparing different xAI approaches. We explored different xAI techniques on Kvasir-SEG polyp segmentation dataset. A comparative analysis of attributions from convolutional layers of Feature Pyramid Network (FPN) model (Dice coefficient = 0.942 and meanIOU = 0.916) is provided. We observed that Layered GradCAM provides a very robust visual trajectory of explanations flowing through encoder-decoder-segmentation blocks. We investigated an explanation-by-example approach wherein we compare and match the predicted mask with key-point features from the training corpus. In addition, we have developed a recommendation approach using Inductive Clustering for classifying predicted polyps based on their size and area into three classes – small, medium and large. The recommendation could assist in prioritizing the patient check-up and subsequent timely intervention by a clinician.</t>
  </si>
  <si>
    <t>IEEE Transactions on Instrumentation and Measurement</t>
  </si>
  <si>
    <t>2022 IEEE International Conference on Image Processing (ICIP)</t>
  </si>
  <si>
    <t>2022 International Conference on Digital Image Computing: Techniques and Applications (DICTA)</t>
  </si>
  <si>
    <t>IEEE Transactions on Medical Imaging</t>
  </si>
  <si>
    <t>M. H. K. Mehedi; E. Haque; S. Y. Radin; M. A. U. Rahman; M. T. Reza; M. G. R. Alam</t>
  </si>
  <si>
    <t>Kidney Tumor Segmentation and Classification using Deep Neural Network on CT Images</t>
  </si>
  <si>
    <t>10.1109/DICTA56598.2022.10034638</t>
  </si>
  <si>
    <t>Kidney disease is one of many severe chronic diseases that a person can have. Early detection of this disease can be pivotal for proper treatment. Different neural networks have proven to be useful in disease prediction in the progression of modern science. In this paper, we have proposed a segmentation based kidney tumor classification method using deep neural network (DNN). We have done our work in two steps. Firstly, we have segmented kidneys using a manual segmentation technique utilizing UNet along with SegNet. Then, for the classification task, the MobileNetV2, VGG16, and InceptionV3 models are trained on the segmented kidney data. “CT KIDNEY DATASET: Normal-Cyst-Tumor and Stone” dataset (published in Kaggle) has been used to train our models. Finally, the classification models MobileNetV2, VGG16, InceptionV3 scored 95.29%, 99.48% and 97.38% accuracy on test set. We have found that the VGG16 model has the best accuracy with the highest sensitivity and specificity. Explainable AI (GradCam) method has been applied to explain our model's result.</t>
  </si>
  <si>
    <t>175-182</t>
  </si>
  <si>
    <t>IEEE Sensors Journal</t>
  </si>
  <si>
    <t>2022 International Conference on Futuristic Technologies (INCOFT)</t>
  </si>
  <si>
    <t>IEEE Journal of Translational Engineering in Health and Medicine</t>
  </si>
  <si>
    <t>K. Siddiqui; T. E. Doyle</t>
  </si>
  <si>
    <t>Trust Metrics for Medical Deep Learning Using Explainable-AI Ensemble for Time Series Classification</t>
  </si>
  <si>
    <t>2022 IEEE Canadian Conference on Electrical and Computer Engineering (CCECE)</t>
  </si>
  <si>
    <t>370-377</t>
  </si>
  <si>
    <t>10.1109/CCECE49351.2022.9918458</t>
  </si>
  <si>
    <t>Trustworthiness is a roadblock in mass adoption of artificial intelligence (AI) in medicine. This research developed a framework to explore the trustworthiness as it applies to AI in medicine with respect to common stakeholders in medical device development. Within this framework the element of explainability of AI models was explored by evaluating an ensemble of explainable AI (XAI) methods. In current literature a litany of XAI methods are available that provide a variety of insights into the learning and function of AI models. XAI methods provide a human readable output for the AI’s learned processes. These XAI methods provide very subjective outputs with varying degrees of quality. Currently, there are no metrics or methods of objectively evaluating XAI generated explanations against outputs from other XAI methods or to test repeatable consistency of explanations from a single XAI method. This research presents two constituent elements, similarity and stability, to explore the concept of explainability for time series medical data (ECG). Thus providing a repeatable and testable framework to evaluate XAI methods and their generated explanations. This is accomplished using subject matter expert (SME) annotated ECG signals (time-series signals) represented as images to AI models and XAI methods. The XAI methods of Vanilla Saliency, SmoothGrad, GradCAM and GradCAM++ were used to generate XAI outputs for a VGG-16 based deep learning classification model. The framework provides insights about XAI method generated explanations for the AI and how closely that learning corresponds to SME decision making. It also objectively evaluates how closely explanations generated by any XAI method resemble outputs from other XAI methods. Lastly, the framework provides insights about possible enhancements to XAI to go beyond what was identified by the SMEs in their decision making.</t>
  </si>
  <si>
    <t>P. Singh; A. Sharma</t>
  </si>
  <si>
    <t>Interpretation and Classification of Arrhythmia Using Deep Convolutional Network</t>
  </si>
  <si>
    <t>10.1109/TIM.2022.3204316</t>
  </si>
  <si>
    <t>Electrocardiogram (ECG) signal analysis can be time-consuming, tedious, and error-prone. Therefore, automated analysis is need of time that will assist clinicians in detecting cardiac abnormalities accurately and efficiently. Recently, deep learning (DL) models have shown unprecedented progress and strong arrhythmia classification capabilities, but their deployment in the medical sector is constrained due to their “black-box” nature. This article proposes a robust explainability method to assist in explaining the underlying decision-making process in deep neural networks (DNNs) and help provide feedback on biases that would benefit in improving DNN models. To achieve these objectives, initially, a DL model is trained on the MIT-BIH Arrhythmia Database and their classification performance is evaluated. The classification findings are then interpreted using the post-hoc explanation methods such as the SHapley Additive exPlanations (SHAP), local interpretable model-agnostic explanations (LIME), and gradient-weighted class activation mapping (Grad-CAM) that interpret the decision rationale. As these methods are initially proposed for image applications therefore a new masking approach is proposed to cater these post-hoc explainability methods for ECG time-series data. After evaluating these methods for ECG arrhythmia classification, several drawbacks are drawn such as they fail to locate a feature’s importance if there are multiple occurrences of the same feature in a signal and also, SHAP and LIME perform random perturbations that sometimes produce unreliable explanations. Therefore, to overcome the drawbacks associated with these post-hoc explainability methods on time-series data, a novel K-GradCam method is proposed. The proposed K-GradCam method ensemble the benefits of these gradient-based and perturbation-based approaches and has demonstrated advantages over SHAP, Grad-CAM and LIME in terms of interpreting the models’ decisions. To compare the proposed technique with post-hoc explainability methods quantitatively, the confidence index of the proposed method is evaluated using dice loss. The proposed method shares 71% similarity with SHAP and 81% similarity with Grad-CAM methods; however, it shares the benefits of both methods and is computationally faster than SHAP and LIME.</t>
  </si>
  <si>
    <t>2022 IEEE International Conference on Fuzzy Systems (FUZZ-IEEE)</t>
  </si>
  <si>
    <t>105262-105280</t>
  </si>
  <si>
    <t>Deep Learning has contributed significantly to the advances made in the fields of Medical Imaging and Computer Aided Diagnosis (CAD). Although a variety of Deep Learning (DL) models exist for the purposes of image classification in the medical domain, more analysis needs to be conducted on their decision-making processes. For this reason, several novel Explainable AI (XAI) techniques have been proposed in recent years to better understand DL models. Currently, medical professionals rely on visual inspections to diagnose potential diseases in endoscopic imaging in the preliminary stages. However, we believe that the use of automated systems can enhance both the efficiency for such diagnoses. The aim of this study is to increase the reliability of model predictions within the field of endoscopic imaging by implementing several transfer learning models on a balanced subset of Kvasir-capsule, a Wireless Capsule Endoscopy imaging dataset. This subset includes the top 9 classes of the dataset for training and testing. The results obtained were an F1-score of 97% ±1% for the Vision Transformer model, although other models such as MobileNetv3Large and ResNet152v2 were also able to achieve F1-scores of over 90%. These are currently the highest-reported metrics on this data, improving upon prior studies done on the same dataset. The heatmaps of several XAI techniques, including GradCAM, GradCAM++, LayersCAM, LIME, and SHAP have been presented in image form and evaluated according to their highlighted regions of importance. This is in an effort to better understand the decisions of the top-performing DL models and look beyond their black-box nature.</t>
  </si>
  <si>
    <t>Web of Science</t>
  </si>
  <si>
    <t>M. Ajmal; M. A. Khan; T. Akram; A. Alqahtani; M. Alhaisoni; A. Armghan; S. A. Althubiti; F. Alenezi</t>
  </si>
  <si>
    <t>BF&lt;SUP&gt;2&lt;/SUP&gt;SkNet: best deep learning features fusion-assisted framework for multiclass skin lesion classification</t>
  </si>
  <si>
    <t>22115-22131</t>
  </si>
  <si>
    <t>10.1007/s00521-022-08084-6</t>
  </si>
  <si>
    <t>The convolutional neural network showed considerable success in medical imaging with explainable AI for cancer detection and recognition. However, the irrelevant and large number of features increases the computational time and decreases the accuracy. This work proposes a deep learning and fuzzy entropy slime mould algorithm-based architecture for multiclass skin lesion classification. In the first step, we employed the data augmentation technique to increase the training data and further utilized it for training two fine-tuned deep learning models such as Inception-ResNetV2 and NasNet Mobile. Then, we used transfer learning on augmented datasets to train both models and obtained two feature vectors from newly fine-tuned models. Later, we applied a fuzzy entropy slime mould algorithm on both vectors to get optimal features that are finally fused using the Serial-Threshold fusion technique and classified using several machine learning classifiers. Eventually, the explainable AI technique named Gradcam opted for the visualization of the lesion region. The experimental process was conducted on two datasets, such as HAM10000 and ISIC 2018, and achieved 97.1 and 90.2% accuracy, better than the other techniques.</t>
  </si>
  <si>
    <t>S. Chakraborty; K. Kumar; B. P. Reddy; T. Meena; S. Roy; Ieee</t>
  </si>
  <si>
    <t>The high mortality rate of sepsis, especially in Intensive Care Unit (ICU) makes it third-highest mortality disease globally. The treatment of sepsis is also time consuming and depends on multi-parametric tests, hence early identification of patients with sepsis becomes crucial. The recent rise in the development of Artificial Intelligence (AI) based models, especially in early prediction of sepsis, have improved the patient outcome. However, drawbacks like low sensitivity, use of excess features that leads to overfitting, and lack of interpretability limit their ability to be used in a clinical setting. So, in this research we have developed a smart, explainable and a highly accurate AI based model (called XAutoNet) that provides quick and early prediction of sepsis with a minimal number of features as input. An application based novel convolutional neural network (CNN) based autoencoder is also implemented that improves the performance of XAutoNet by dimensional reduction. Finally, to unbox the Black Box" nature of these models, Gradient based Class Activation Map (GradCAM) and SHapley Additive exPlanations (SHAP) are implemented to provide interpretability of autoencoder and XAutoNet in the form of visualization graphs to assist clinicians in diagnosis and treatment."</t>
  </si>
  <si>
    <t>44-55</t>
  </si>
  <si>
    <t>International Journal of Advanced Computer Science and Applications</t>
  </si>
  <si>
    <t>Expert Systems with Applications</t>
  </si>
  <si>
    <t>S. Mullan; M. Sonka</t>
  </si>
  <si>
    <t>K. Siddiqui; T. E. Doyle; Ieee</t>
  </si>
  <si>
    <t>Trustworthiness is a roadblock in mass adoption of artificial intelligence (AI) in medicine. This research developed a framework to explore the trustworthiness as it applies to AI in medicine with respect to common stakeholders in medical device development. Within this framework the element of explainability of AI models was explored by evaluating an ensemble of explainable AI (XAI) methods. In current literature a litany of XAI methods are available that provide a variety of insights into the learning and function of AI models. XAI methods provide a human readable output for the AI's learned processes. These XAI methods provide very subjective outputs with varying degrees of quality. Currently, there are no metrics or methods of objectively evaluating XAI generated explanations against outputs from other XAI methods or to test repeatable consistency of explanations from a single XAI method. This research presents two constituent elements, similarity and stability, to explore the concept of explainability for time series medical data (ECG). Thus providing a repeatable and testable framework to evaluate XAI methods and their generated explanations. This is accomplished using subject matter expert (SME) annotated ECG signals (time-series signals) represented as images to AI models and XAI methods. The XAI methods of Vanilla Saliency, SmoothGrad, GradCAM and GradCAM++ were used to generate XAI outputs for a VGG-16 based deep learning classification model. The framework provides insights about XAI method generated explanations for the AI and how closely that learning corresponds to SME decision making. It also objectively evaluates how closely explanations generated by any XAI method resemble outputs from other XAI methods. Lastly, the framework provides insights about possible enhancements to XAI to go beyond what was identified by the SMEs in their decision making.</t>
  </si>
  <si>
    <t>Neural Networks</t>
  </si>
  <si>
    <t>Deep Learning has contributed significantly to the advances made in the fields of Medical Imaging and Computer Aided Diagnosis (CAD). Although a variety of Deep Learning (DL) models exist for the purposes of image classification in the medical domain, more analysis needs to be conducted on their decision-making processes. For this reason, several novel Explainable AI (XAI) techniques have been proposed in recent years to better understand DL models. Currently, medical professionals rely on visual inspections to diagnose potential diseases in endoscopic imaging in the preliminary stages. However, we believe that the use of automated systems can enhance both the efficiency for such diagnoses. The aim of this study is to increase the reliability of model predictions within the field of endoscopic imaging by implementing several transfer learning models on a balanced subset of Kvasir-capsule, a Wireless Capsule Endoscopy imaging dataset. This subset includes the top 9 classes of the dataset for training and testing. The results obtained were an F1-score of 97% +/- 1% for the Vision Transformer model, although other models such as MobileNetv3Large and ResNet152v2 were also able to achieve F1-scores of over 90%. These are currently the highest-reported metrics on this data, improving upon prior studies done on the same dataset. The heatmaps of several XAI techniques, including GradCAM, GradCAM++, LayersCAM, LIME, and SHAP have been presented in image form and evaluated according to their highlighted regions of importance. This is in an effort to better understand the decisions of the top-performing DL models and look beyond their black-box nature.</t>
  </si>
  <si>
    <t>2022 International Conference on Digital Image Computing: Techniques and Applications, DICTA 2022</t>
  </si>
  <si>
    <t>Institute of Electrical and Electronics Engineers Inc.</t>
  </si>
  <si>
    <t>Hindawi Limited</t>
  </si>
  <si>
    <t>CEUR Workshop Proceedings</t>
  </si>
  <si>
    <t>Association for Computing Machinery</t>
  </si>
  <si>
    <t>BF2SkNet: best deep learning features fusion-assisted framework for multiclass skin lesion classification</t>
  </si>
  <si>
    <t>Neural Computing and Applications</t>
  </si>
  <si>
    <t>Springer Science and Business Media Deutschland GmbH</t>
  </si>
  <si>
    <t>https://www.scopus.com/inward/record.uri?eid=2-s2.0-85143759834&amp;doi=10.1007%2fs00521-022-08084-6&amp;partnerID=40&amp;md5=23db9c2d7074379d86e71d47ddbadf87</t>
  </si>
  <si>
    <t>Artificial intelligence_x000D_
Deep learning_x000D_
Dermoscopy_x000D_
Features fusion_x000D_
Features optimization_x000D_
Machine learning_x000D_
Skin cancer_x000D_
Classification (of information)_x000D_
Computer aided diagnosis_x000D_
Convolutional neural networks_x000D_
Dermatology_x000D_
Diseases_x000D_
Entropy_x000D_
Learning algorithms_x000D_
Learning systems_x000D_
Medical imaging_x000D_
Molds_x000D_
Transfer learning_x000D_
Features fusions_x000D_
Features optimizations_x000D_
Fuzzy entropy_x000D_
Lesion classification_x000D_
Machine-learning_x000D_
Skin cancers_x000D_
Skin lesion_x000D_
Slime moulds</t>
  </si>
  <si>
    <t>The convolutional neural network showed considerable success in medical imaging with explainable AI for cancer detection and recognition. However, the irrelevant and large number of features increases the computational time and decreases the accuracy. This work proposes a deep learning and fuzzy entropy slime mould algorithm-based architecture for multiclass skin lesion classification. In the first step, we employed the data augmentation technique to increase the training data and further utilized it for training two fine-tuned deep learning models such as Inception-ResNetV2 and NasNet Mobile. Then, we used transfer learning on augmented datasets to train both models and obtained two feature vectors from newly fine-tuned models. Later, we applied a fuzzy entropy slime mould algorithm on both vectors to get optimal features that are finally fused using the Serial-Threshold fusion technique and classified using several machine learning classifiers. Eventually, the explainable AI technique named Gradcam opted for the visualization of the lesion region. The experimental process was conducted on two datasets, such as HAM10000 and ISIC 2018, and achieved 97.1 and 90.2% accuracy, better than the other techniques. © 2022, The Author(s), under exclusive licence to Springer-Verlag London Ltd., part of Springer Nature.</t>
  </si>
  <si>
    <t>Elsevier B.V.</t>
  </si>
  <si>
    <t>Elsevier Ireland Ltd</t>
  </si>
  <si>
    <t>S. Ali; T. P. T. Armand; A. Athar; A. Hussain; M. Ali; M. Yaseen; M. I. Joo; H. C. Kim</t>
  </si>
  <si>
    <t>Metaverse in Healthcare Integrated with Explainable AI and Blockchain: Enabling Immersiveness, Ensuring Trust, and Providing Patient Data Security</t>
  </si>
  <si>
    <t>Sensors</t>
  </si>
  <si>
    <t>https://www.scopus.com/inward/record.uri?eid=2-s2.0-85146718701&amp;doi=10.3390%2fs23020565&amp;partnerID=40&amp;md5=b6388ed54edcb85142133fa1d7fcc794</t>
  </si>
  <si>
    <t>10.3390/s23020565</t>
  </si>
  <si>
    <t>blockchain_x000D_
digital twins_x000D_
explainable AI_x000D_
healthcare_x000D_
healthcare metaverse_x000D_
immersive technologies_x000D_
immersive technologies in healthcare_x000D_
metaverse_x000D_
mixed reality_x000D_
NLP_x000D_
Artificial Intelligence_x000D_
Computer Security_x000D_
Delivery of Health Care_x000D_
Humans_x000D_
Trust_x000D_
Architecture_x000D_
Data privacy_x000D_
Diagnosis_x000D_
Forecasting_x000D_
Health care_x000D_
Hospital data processing_x000D_
Lime_x000D_
Transparency_x000D_
Block-chain_x000D_
Immersive technology in healthcare_x000D_
Metaverses_x000D_
health care delivery_x000D_
human</t>
  </si>
  <si>
    <t>Digitization and automation have always had an immense impact on healthcare. It embraces every new and advanced technology. Recently the world has witnessed the prominence of the metaverse which is an emerging technology in digital space. The metaverse has huge potential to provide a plethora of health services seamlessly to patients and medical professionals with an immersive experience. This paper proposes the amalgamation of artificial intelligence and blockchain in the metaverse to provide better, faster, and more secure healthcare facilities in digital space with a realistic experience. Our proposed architecture can be summarized as follows. It consists of three environments, namely the doctor’s environment, the patient’s environment, and the metaverse environment. The doctors and patients interact in a metaverse environment assisted by blockchain technology which ensures the safety, security, and privacy of data. The metaverse environment is the main part of our proposed architecture. The doctors, patients, and nurses enter this environment by registering on the blockchain and they are represented by avatars in the metaverse environment. All the consultation activities between the doctor and the patient will be recorded and the data, i.e., images, speech, text, videos, clinical data, etc., will be gathered, transferred, and stored on the blockchain. These data are used for disease prediction and diagnosis by explainable artificial intelligence (XAI) models. The GradCAM and LIME approaches of XAI provide logical reasoning for the prediction of diseases and ensure trust, explainability, interpretability, and transparency regarding the diagnosis and prediction of diseases. Blockchain technology provides data security for patients while enabling transparency, traceability, and immutability regarding their data. These features of blockchain ensure trust among the patients regarding their data. Consequently, this proposed architecture ensures transparency and trust regarding both the diagnosis of diseases and the data security of the patient. We also explored the building block technologies of the metaverse. Furthermore, we also investigated the advantages and challenges of a metaverse in healthcare. © 2023 by the authors.</t>
  </si>
  <si>
    <t>Institution of Engineering and Technology</t>
  </si>
  <si>
    <t>Elsevier Ltd</t>
  </si>
  <si>
    <t>MDPI AG</t>
  </si>
  <si>
    <t>CRC Press</t>
  </si>
  <si>
    <t>Proceedings of IEEE Asia-Pacific Conference on Computer Science and Data Engineering, CSDE 2022</t>
  </si>
  <si>
    <t>Tech Science Press</t>
  </si>
  <si>
    <t>2023-June</t>
  </si>
  <si>
    <t>Computer Systems Science and Engineering</t>
  </si>
  <si>
    <t>John Wiley and Sons Inc</t>
  </si>
  <si>
    <t>Journal of Imaging</t>
  </si>
  <si>
    <t>Multidisciplinary Digital Publishing Institute (MDPI)</t>
  </si>
  <si>
    <t>IEEE Computer Society</t>
  </si>
  <si>
    <t>Proceedings - 2023 IEEE 24th International Conference on Information Reuse and Integration for Data Science, IRI 2023</t>
  </si>
  <si>
    <t>https://www.scopus.com/inward/record.uri?eid=2-s2.0-85171890862&amp;doi=10.1109%2fIRI58017.2023.00059&amp;partnerID=40&amp;md5=41c118a0c7ec4c0e397742d19593e7eb</t>
  </si>
  <si>
    <t>Autoencoders_x000D_
Healthcare_x000D_
Sepsis Prediction_x000D_
XAI_x000D_
Convolutional neural networks_x000D_
Diagnosis_x000D_
Intensive care units_x000D_
Learning systems_x000D_
Patient treatment_x000D_
Auto encoders_x000D_
Early prediction_x000D_
Interpretability_x000D_
Low sensitivity_x000D_
Mortality rate_x000D_
Overfitting_x000D_
Parametric test_x000D_
Forecasting</t>
  </si>
  <si>
    <t>The high mortality rate of sepsis, especially in Intensive Care Unit (ICU) makes it third-highest mortality disease globally. The treatment of sepsis is also time consuming and depends on multi-parametric tests, hence early identification of patients with sepsis becomes crucial. The recent rise in the development of Artificial Intelligence (AI) based models, especially in early prediction of sepsis, have improved the patient outcome. However, drawbacks like low sensitivity, use of excess features that leads to overfitting, and lack of interpretability limit their ability to be used in a clinical setting. So, in this research we have developed a smart, explainable and a highly accurate AI based model (called XAutoNet) that provides quick and early prediction of sepsis with a minimal number of features as input. An application based novel convolutional neural network (CNN) based autoencoder is also implemented that improves the performance of XAutoNet by dimensional reduction. Finally, to unbox the 'Black Box' nature of these models, Gradient based Class Activation Map (GradCAM) and SHapley Additive exPlanations (SHAP) are implemented to provide interpretability of autoencoder and XAutoNet in the form of visualization graphs to assist clinicians in diagnosis and treatment. © 2023 IEEE.</t>
  </si>
  <si>
    <t>Proceedings - International Conference on Pattern Recognition</t>
  </si>
  <si>
    <t>IEEE International Conference on Fuzzy Systems</t>
  </si>
  <si>
    <t>Electronics (Switzerland)</t>
  </si>
  <si>
    <t>Proceedings of Machine Learning Research</t>
  </si>
  <si>
    <t>ML Research Press</t>
  </si>
  <si>
    <t>Science and Information Organization</t>
  </si>
  <si>
    <t>I. P. de Sousa; M. M. B. R. Vellasco; E. C. da Silva</t>
  </si>
  <si>
    <t>Explainable artificial intelligence for bias detection in covid ct-scan classifiers</t>
  </si>
  <si>
    <t>https://www.scopus.com/inward/record.uri?eid=2-s2.0-85113716505&amp;doi=10.3390%2fs21165657&amp;partnerID=40&amp;md5=154995830992978db41ccd46fab076a6</t>
  </si>
  <si>
    <t>Computer vision_x000D_
Computerized Tomography_x000D_
Covid 19_x000D_
Explainable AI_x000D_
Image classifica-tion_x000D_
Medical imaging_x000D_
Artificial Intelligence_x000D_
Bias_x000D_
COVID-19_x000D_
Humans_x000D_
SARS-CoV-2_x000D_
Tomography, X-Ray Computed_x000D_
Classification (of information)_x000D_
Deep neural networks_x000D_
Lime_x000D_
Network architecture_x000D_
Artificial intelligence methods_x000D_
F1 scores_x000D_
Gradient approach_x000D_
Heatmaps_x000D_
Neural networks architecture_x000D_
Performance metrics_x000D_
human_x000D_
statistical bias_x000D_
x-ray computed tomography</t>
  </si>
  <si>
    <t>Problem: An application of Explainable Artificial Intelligence Methods for COVID CT-Scan classifiers is presented. Motivation: It is possible that classifiers are using spurious artifacts in dataset images to achieve high performances, and such explainable techniques can help identify this issue. Aim: For this purpose, several approaches were used in tandem, in order to create a complete overview of the classificatios. Methodology: The techniques used included GradCAM, LIME, RISE, Squaregrid, and direct Gradient approaches (Vanilla, Smooth, Integrated). Main 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networks. Notably, it is important to notice that the strong performance metrics achieved by all these networks (Accuracy, F1 score, AUC all in the 80 to 90% range) could give users the erroneous impression that there is no bias. However, the analysis of the explanation heatmaps highlights the bias. © 2021 by the authors. Licensee MDPI, Basel, Switzerland.</t>
  </si>
  <si>
    <t>ACM International Conference Proceeding Series</t>
  </si>
  <si>
    <t>2023-July</t>
  </si>
  <si>
    <t>PeerJ Computer Science</t>
  </si>
  <si>
    <t>PeerJ Inc.</t>
  </si>
  <si>
    <t>Proceedings of the Annual International Conference of the IEEE Engineering in Medicine and Biology Society, EMBS</t>
  </si>
  <si>
    <t>ICASSP, IEEE International Conference on Acoustics, Speech and Signal Processing - Proceedings</t>
  </si>
  <si>
    <t>S. Goggi; S. Giraddi; S. Chikkerur; G. S. Ballari; V. Giraddi; S. Kanakaraddi</t>
  </si>
  <si>
    <t>Assessment of XAI Tools in Interpretationof Diabetic Retinopathy Grading</t>
  </si>
  <si>
    <t>14th International Conference on Advances in Computing, Control, and Telecommunication Technologies, ACT 2023</t>
  </si>
  <si>
    <t>1860-1865</t>
  </si>
  <si>
    <t>Grenze Scientific Society</t>
  </si>
  <si>
    <t>https://www.scopus.com/inward/record.uri?eid=2-s2.0-85174385747&amp;partnerID=40&amp;md5=be1f0b188fef5ffbe416f41b2d131113</t>
  </si>
  <si>
    <t>Explainable AI_x000D_
Grad-Cam_x000D_
Grad-Cam++_x000D_
Resnet50_x000D_
Blood_x000D_
Blood vessels_x000D_
Cams_x000D_
Eye protection_x000D_
Grading_x000D_
Ophthalmology_x000D_
Vision_x000D_
CAM models_x000D_
Diabetic retinopathy_x000D_
Diabetic retinopathy grading_x000D_
Fundus image_x000D_
Localisation_x000D_
Vision loss_x000D_
Deep learning</t>
  </si>
  <si>
    <t>Diabetic Retinopathy is an eye disorder caused due to access amounts of sugar in the blood which creates blockages in the vessels that supply blood to the eyes. This damage caused to the retinal blood vessels is a result of diabetes and can lead to vision loss. If this disorder is untreated, it can cause partial vision loss or even total blindness within a few years. Hence, early detection and treatment of Diabetic Retinopathy is very important. In our project, firstly a pre-trained deep learning model (ResNet-50) was used to classify a given Diabetic Retinopathy fundus image into one of the five classes (No DR, Mild DR, Moderate DR, Severe DR, Proliferative DR). The output produced was a black box output. In the medical field it is very important that proper explanations are provided as to why an AI model has given a certain output. Hence, we built two Explainable AI models that will help doctors as well as patients identify the features that have led to the classification of a particular DR fundus image in a given category with the of Heatmap generation. The two Explainable AI models built were Grad-Cam and Grad-Cam++. The Grad-Cam model provided a coarse localization map that highlighted the major areas in the image for estimating the target features. Whereas the Grad-Cam++ model produced a superior localization of the objects. After the two models were implemented, the comparison of the results obtained from the two models showed that the localization of the features in GradCam++ were far better than Grad-Cam. It was also observed that Grad- cam++ was able to identify multiple objects of a single class with better accuracy whereas Grad-Cam was not able to do the same. Hence, concluding that Grad-Cam++ performed better than Grad-Cam. © Grenze Scientific Society, 2023.</t>
  </si>
  <si>
    <t>SPIE</t>
  </si>
  <si>
    <t>Springer</t>
  </si>
  <si>
    <t>2021 International Seminar on Machine Learning, Optimization, and Data Science, ISMODE 2021</t>
  </si>
  <si>
    <t>https://www.scopus.com/inward/record.uri?eid=2-s2.0-85128195662&amp;doi=10.1109%2fISMODE53584.2022.9743003&amp;partnerID=40&amp;md5=7d2422fe1244c0ddf9a792d165391455</t>
  </si>
  <si>
    <t>Colorectal cancer_x000D_
eXplainable Artificial Intelligence (xAI)_x000D_
Feature Pyramid Network (FPN)_x000D_
Image matching_x000D_
Inductive clustering_x000D_
Polyp segmentation_x000D_
Artificial intelligence_x000D_
Clustering algorithms_x000D_
Image segmentation_x000D_
Medical imaging_x000D_
Network layers_x000D_
Patient treatment_x000D_
Clusterings_x000D_
Comparatives studies_x000D_
Feature pyramid_x000D_
Feature pyramid network_x000D_
Layer-wise_x000D_
Pyramid network_x000D_
Unboxing_x000D_
Diseases</t>
  </si>
  <si>
    <t>Explainable Artificial Intelligence (xAI) is aimed at unboxing the AI model choices by providing interpretable explanations mitigating the black-box nature of algorithms and improving the transparency. Availability of many xAI techniques for medical imaging studies, necessitates a need to understand and pick a suitable approach for different stakeholders (clinician/patient). Interpretation of model predictions could be benefitted by comparing different xAI approaches. We explored different xAI techniques on Kvasir-SEG polyp segmentation dataset. A comparative analysis of attributions from convolutional layers of Feature Pyramid Network (FPN) model (Dice coefficient = 0.942 and meanIOU = 0.916) is provided. We observed that Layered GradCAM provides a very robust visual trajectory of explanations flowing through encoder-decoder-segmentation blocks. We investigated an explanation-by-example approach wherein we compare and match the predicted mask with key-point features from the training corpus. In addition, we have developed a recommendation approach using Inductive Clustering for classifying predicted polyps based on their size and area into three classes-small, medium and large. The recommendation could assist in prioritizing the patient check-up and subsequent timely intervention by a clinician. © 2022 IEEE.</t>
  </si>
  <si>
    <t>Association for the Advancement of Artificial Intelligence</t>
  </si>
  <si>
    <t>Neural Processing Letters</t>
  </si>
  <si>
    <t>Proceedings - International Conference on Image Processing, ICIP</t>
  </si>
  <si>
    <t>Pattern Recognition Letters</t>
  </si>
  <si>
    <t>Association for Computing Machinery, Inc</t>
  </si>
  <si>
    <t>Science and Technology Publications, Lda</t>
  </si>
  <si>
    <t>29-40</t>
  </si>
  <si>
    <t>Canadian Conference on Electrical and Computer Engineering</t>
  </si>
  <si>
    <t>2022-September</t>
  </si>
  <si>
    <t>https://www.scopus.com/inward/record.uri?eid=2-s2.0-85140983162&amp;doi=10.1109%2fCCECE49351.2022.9918458&amp;partnerID=40&amp;md5=3dd5d06a9b5642f154c80f8699d11bf6</t>
  </si>
  <si>
    <t>deep learning_x000D_
ECG_x000D_
explainable AI_x000D_
quantification_x000D_
time series_x000D_
trust_x000D_
XAI_x000D_
Decision making_x000D_
Learning systems_x000D_
Artificial intelligence in medicine_x000D_
Decisions makings_x000D_
Explainable artificial intelligence_x000D_
Intelligence models_x000D_
Subject matter experts_x000D_
Times series_x000D_
Electrocardiograms</t>
  </si>
  <si>
    <t>Trustworthiness is a roadblock in mass adoption of artificial intelligence (AI) in medicine. This research developed a framework to explore the trustworthiness as it applies to AI in medicine with respect to common stakeholders in medical device development. Within this framework the element of explainability of AI models was explored by evaluating an ensemble of explainable AI (XAI) methods. In current literature a litany of XAI methods are available that provide a variety of insights into the learning and function of AI models. XAI methods provide a human readable output for the AI's learned processes. These XAI methods provide very subjective outputs with varying degrees of quality. Currently, there are no metrics or methods of objectively evaluating XAI generated explanations against outputs from other XAI methods or to test repeatable consistency of explanations from a single XAI method. This research presents two constituent elements, similarity and stability, to explore the concept of explainability for time series medical data (ECG). Thus providing a repeatable and testable framework to evaluate XAI methods and their generated explanations. This is accomplished using subject matter expert (SME) annotated ECG signals (time-series signals) represented as images to AI models and XAI methods. The XAI methods of Vanilla Saliency, SmoothGrad, GradCAM and GradCAM++ were used to generate XAI outputs for a VGG-16 based deep learning classification model. The framework provides insights about XAI method generated explanations for the AI and how closely that learning corresponds to SME decision making. It also objectively evaluates how closely explanations generated by any XAI method resemble outputs from other XAI methods. Lastly, the framework provides insights about possible enhancements to XAI to go beyond what was identified by the SMEs in their decision making. © 2022 IEEE.</t>
  </si>
  <si>
    <t>https://www.scopus.com/inward/record.uri?eid=2-s2.0-85173042491&amp;doi=10.1109%2fACCESS.2023.3319068&amp;partnerID=40&amp;md5=0c5c5c9e93baaaaa0188fc6107535f3b</t>
  </si>
  <si>
    <t>Deep learning_x000D_
explainable AI_x000D_
gastrointestinal diseases_x000D_
machine learning_x000D_
vision transformer_x000D_
wireless capsule endoscopy_x000D_
Automation_x000D_
Computer aided diagnosis_x000D_
Computer aided instruction_x000D_
Decision making_x000D_
Image classification_x000D_
Lime_x000D_
Medical imaging_x000D_
Statistical tests_x000D_
Classification algorithm_x000D_
Features extraction_x000D_
Gastrointestinal Disease_x000D_
Gastrointestinal tract_x000D_
Machine-learning_x000D_
Solid modelling_x000D_
Wireless communications_x000D_
Endoscopy</t>
  </si>
  <si>
    <t>Deep Learning has contributed significantly to the advances made in the fields of Medical Imaging and Computer Aided Diagnosis (CAD). Although a variety of Deep Learning (DL) models exist for the purposes of image classification in the medical domain, more analysis needs to be conducted on their decision-making processes. For this reason, several novel Explainable AI (XAI) techniques have been proposed in recent years to better understand DL models. Currently, medical professionals rely on visual inspections to diagnose potential diseases in endoscopic imaging in the preliminary stages. However, we believe that the use of automated systems can enhance both the efficiency for such diagnoses. The aim of this study is to increase the reliability of model predictions within the field of endoscopic imaging by implementing several transfer learning models on a balanced subset of Kvasir-capsule, a Wireless Capsule Endoscopy imaging dataset. This subset includes the top 9 classes of the dataset for training and testing. The results obtained were an F1-score of 97% ±1% for the Vision Transformer model, although other models such as MobileNetv3Large and ResNet152v2 were also able to achieve F1-scores of over 90%. These are currently the highest-reported metrics on this data, improving upon prior studies done on the same dataset. The heatmaps of several XAI techniques, including GradCAM, GradCAM++, LayersCAM, LIME, and SHAP have been presented in image form and evaluated according to their highlighted regions of importance. This is in an effort to better understand the decisions of the top-performing DL models and look beyond their black-box nature. © 2013 IEEE.</t>
  </si>
  <si>
    <t>2022-July</t>
  </si>
  <si>
    <t>Heliyon</t>
  </si>
  <si>
    <t>A. Ahmadian; L. S. P. Liu; Y. Fei; K. N. Plataniotis; M. S. Hosseini</t>
  </si>
  <si>
    <t>Representation learning_x000D_
Performance evaluation_x000D_
Visualization_x000D_
Convolution_x000D_
Microprocessors_x000D_
Computer architecture_x000D_
Search problems</t>
  </si>
  <si>
    <t>10.1109/ICASSP49357.2023.10097215</t>
  </si>
  <si>
    <t>Pseudo-Inverted Bottleneck Convolution for Darts Search Space</t>
  </si>
  <si>
    <t>Differentiable Architecture Search (DARTS) has attracted considerable attention as a gradient-based neural architecture search method. Since the introduction of DARTS, there has been little work done on adapting the action space based on state-of-art architecture design principles for CNNs. In this work, we aim to address this gap by incrementally augmenting the DARTS search space with micro-design changes inspired by ConvNeXt and studying the trade-off between accuracy, evaluation layer count, and computational cost. We introduce the Pseudo-Inverted Bottleneck Conv (PIBConv) block intending to reduce the computational footprint of the inverted bottleneck block proposed in ConvNeXt. Our proposed architecture is much less sensitive to evaluation layer count and outperforms a DARTS network with similar size significantly, at layer counts as small as 2. Furthermore, with less layers, not only does it achieve higher accuracy with lower computational footprint (measured in GMACs) and parameter count, GradCAM comparisons show that our network can better detect distinctive features of target objects compared to DARTS. Code is available from https://github.com/mahdihosseini/PIBConv.</t>
  </si>
  <si>
    <t>A. Arias-Duart; F. Parés; D. Garcia-Gasulla; V. Giménez-Ábalos</t>
  </si>
  <si>
    <t>Measurement_x000D_
Visualization_x000D_
Computational modeling_x000D_
Computer architecture_x000D_
Robustness_x000D_
Behavioral sciences_x000D_
Labeling</t>
  </si>
  <si>
    <t>10.1109/FUZZ-IEEE55066.2022.9882821</t>
  </si>
  <si>
    <t>Focus! Rating XAI Methods and Finding Biases</t>
  </si>
  <si>
    <t>AI explainability improves the transparency and trustworthiness of models. However, in the domain of images, where deep learning has succeeded the most, explainability is still poorly assessed. In the field of image recognition many feature attribution methods have been proposed with the purpose of explaining a model’s behavior using visual cues. However, no metrics have been established so far to assess and select these methods objectively. In this paper we propose a consistent evaluation score for feature attribution methods—the Focus—designed to quantify their coherency to the task. While most previous work adds out-of-distribution noise to samples, we introduce a methodology to add noise from within the distribution. This is done through mosaics of instances from different classes, and the explanations these generate. On those, we compute a visual pseudo-precision metric, Focus. First, we show the robustness of the approach through a set of randomization experiments. Then we use Focus to compare six popular explainability techniques across several CNN architectures and classification datasets. Our results find some methods to be consistently reliable (LRP, GradCAM), while others produce class-agnostic explanations (SmoothGrad, IG). Finally we introduce another application of Focus, using it for the identification and characterization of biases found in models. This empowers bias-management tools, in another small step towards trustworthy AI.</t>
  </si>
  <si>
    <t>Convolutional neural networks_x000D_
Image classification_x000D_
Artificial intelligence_x000D_
Biomedical image processing_x000D_
Medical diagnostic imaging_x000D_
Clinical diagnosis_x000D_
Diseases_x000D_
Lesions_x000D_
Explainable AI_x000D_
interpretable CNN_x000D_
medical image classification</t>
  </si>
  <si>
    <t>B. J. Ayekai; C. Wenyu; M. T. Hailemichael; L. D. Fiasam; A. V. Kwaku; F. Agbley; W. Ayivi; F. Sam; J. M. Danso; D. Kulevome; C. B. Mawuli</t>
  </si>
  <si>
    <t>2022 19th International Computer Conference on Wavelet Active Media Technology and Information Processing (ICCWAMTIP)</t>
  </si>
  <si>
    <t>Learning systems_x000D_
Data privacy_x000D_
Visualization_x000D_
Lung cancer_x000D_
Lung_x000D_
Organizations_x000D_
Information processing_x000D_
Federated learning_x000D_
Medical imaging_x000D_
Deep learning</t>
  </si>
  <si>
    <t>10.1109/ICCWAMTIP56608.2022.10016519</t>
  </si>
  <si>
    <t>Federated Lung Cancer Prediction Using Histopathological Medical Images</t>
  </si>
  <si>
    <t>Machine learning is increasingly significant in health science because it can infer valuable information from high-dimensional data. However, combining research and patient data from various organizations and hospitals is frequently not practical due to privacy concerns. In this research, we conduct a study of federated learning for lung cancer prediction to demonstrate the effectiveness of collaborative and decentralized learning in a context where data is privacy preserved. We also conducted visual interpretation using GradCAM to validate the robust performance of the decentralized method in predicting lung cancer.</t>
  </si>
  <si>
    <t>N. Bentaher; Y. Kabbadj; M. B. Salah</t>
  </si>
  <si>
    <t>2023 10th International Conference on Wireless Networks and Mobile Communications (WINCOM)</t>
  </si>
  <si>
    <t>Training_x000D_
Image segmentation_x000D_
Visualization_x000D_
Biological system modeling_x000D_
Wireless networks_x000D_
Predictive models_x000D_
Breast cancer_x000D_
Detection_x000D_
U-Net_x000D_
ResNet_x000D_
Transfer Learning_x000D_
Grad-CAM</t>
  </si>
  <si>
    <t>10.1109/WINCOM59760.2023.10322998</t>
  </si>
  <si>
    <t>Enhancing Breast Masses Detection and Segmentation: A Novel U-Net-Based Approach</t>
  </si>
  <si>
    <t>Breast cancer is a frequent form of cancer for women, and globally it is a major cause of death. Early detection is crucial for effective diagnosis and treatment, and can also help to lower mortality rates. In recent years, Convolutional Neural Networks have been applied to mammography to assist radiologists improve their efficiency and precision. U-Net is a fully convolutional neural network and a popular model that uses the encoder-decoder architecture, it is known for its capacity to effectively segment biomedical images. This work aims to present a new model for breast cancer detection and segmentation. Our first purpose was to discover a reliable segmentation model for breast masses in mammography images by combining the ResNet architecture and U-Net. Subsequently, we trained several standard models for classification in normal and abnormal images, such as ResNet101, ResNet152, DenseNet169, MobileNet, InceptionV3, and NasNet. Furthermore, based on the segmentation model that yielded good experimental results, we created our classification model by modifying the output layers in order to generate a prediction label (Normal or Abnormal) instead of generating a mask. Our study contributes to the field of breast cancer detection by employing a novel approach that performs detection and segmentation directly on the entire mammography image, unlike traditional methods that operate on image patches. The main advantage of the proposed approach is to simplify the workflow of breast masses segmentation by eliminating intermediate steps which can introduce errors and increase the complexity of the system. Furthermore, our approach focuses on reducing false positives, which are a common challenge in breast cancer detection. Our classification model reached better results compared to other experimented classification models. We used the INbreast dataset of mammography images to train and evaluate our models. In addition to that we employed GradCAM in order to visualize the prediction results and to have an interpretation of the results.</t>
  </si>
  <si>
    <t>2023 IEEE 5th International Conference on Artificial Intelligence Circuits and Systems (AICAS)</t>
  </si>
  <si>
    <t>Visualization_x000D_
Schedules_x000D_
Runtime_x000D_
Processor scheduling_x000D_
Computational modeling_x000D_
Software algorithms_x000D_
Inference algorithms_x000D_
Convolutional Neural Network (CNN)_x000D_
Explainable AI (XAI)_x000D_
Feature Attribution_x000D_
GradCAM_x000D_
FPGA_x000D_
High Level Synthesis (HLS)_x000D_
Domain Specific Hardware Accelerator</t>
  </si>
  <si>
    <t>Explainable AI (XAI) methods provide insights into the operation of black-box Deep Neural Network (DNN) models. GradCAM, an XAI algorithm, provides an explanation by highlighting regions in the input feature space that were relevant to the model’s output. It involves a gradient computation step that adds a significant overhead compared to inference and hinders providing explanations to end-users. In this work, we identify the root cause of the problem to be the dynamic run-time automatic differentiation. To overcome this issue, we propose to offload the gradient computation step to compile time via analytic evaluation. We validate the idea by designing an FPGA implementation of GradCAM that schedules the entire computation graph statically. For a TinyML ResNet18 model, we achieve a reduction in the explanation generation overhead from &gt; 2× using software frameworks on CPU/GPU systems to &lt; 0.01× on the FPGA using our designed hardware and static scheduling.</t>
  </si>
  <si>
    <t>P. Bruno; F. Calimeri; A. S. Kitanidis; E. D. Momi</t>
  </si>
  <si>
    <t>2020 IEEE International Conference on Human-Machine Systems (ICHMS)</t>
  </si>
  <si>
    <t>Data visualization_x000D_
Heating systems_x000D_
Gene expression_x000D_
Training_x000D_
Diseases_x000D_
Neural networks_x000D_
Visualization_x000D_
GradCAM_x000D_
Heatmap_x000D_
Hot-spot map_x000D_
Convolutional Neural Networks</t>
  </si>
  <si>
    <t>10.1109/ICHMS49158.2020.9209499</t>
  </si>
  <si>
    <t>Understanding Automatic Diagnosis and Classification Processes with Data Visualization</t>
  </si>
  <si>
    <t>Providing accurate diagnosis of diseases generally requires complex analyses of many clinical, biological and pathological variables. In this context, solutions based on machine learning techniques achieved relevant results in specific disease detection and classification, and can hence provide significant clinical decision support. However, such approaches suffer from the lack of proper means for interpreting the choices made by the models, especially in case of deep-learning ones. In order to improve interpretability and explainability in the process of making qualified decisions, we designed a system that allows for a partial opening of this black box by means of proper investigations on the rationale behind the decisions; this can provide improved understandings into which pre-processing steps are crucial for better performance. We tested our approach over artificial neural networks trained for automatic medical diagnosis based on high-dimensional gene expression and clinical data. Our tool analyzed the internal processes performed by the networks during the classification tasks in order to identify the most important elements involved in the training process that influence the network's decisions.We report the results of an experimental analysis aimed at assessing the viability of the proposed approach.</t>
  </si>
  <si>
    <t>2022 2nd International Conference on Computer Graphics, Image and Virtualization (ICCGIV)</t>
  </si>
  <si>
    <t>94-97</t>
  </si>
  <si>
    <t>Training_x000D_
Visualization_x000D_
Event detection_x000D_
Semantic segmentation_x000D_
Feature extraction_x000D_
Inference algorithms_x000D_
Classification algorithms_x000D_
component_x000D_
Grad-CAM_x000D_
weakly supervised algorithm_x000D_
CNN_x000D_
DCASE2022Task4</t>
  </si>
  <si>
    <t>Grad­CAM weakly supervised algorithm is usually used in classification tasks as a feature visualization method. This method can mark the pixel points determined by CNN as classification features by the target layer parameters of convolutional neural network. Based on the ability of Grad­CAM to locate classification features, this paper combines the audio event detection task with Grad­CAM algorithm to form an audio event detection system based on Grad­CAM.The feature localization ability obtained by convolutional neural network in the audio event classification task is used to assist in completing the audio event detection task. In the experiment based on DCASE2022task4 dataset, the PSDS2 score of 0.74157 is higher than the baseline system with PSDS2 score of 0.54336.</t>
  </si>
  <si>
    <t>Sensitivity_x000D_
Biological system modeling_x000D_
Predictive models_x000D_
Data science_x000D_
Sepsis_x000D_
Feature extraction_x000D_
Rough surfaces_x000D_
Healthcare_x000D_
XAI_x000D_
Sepsis Prediction_x000D_
Autoencoders</t>
  </si>
  <si>
    <t>X. Chen; J. Li; J. Liu; S. Peters; L. Liu; T. D. Le; A. Walsh</t>
  </si>
  <si>
    <t>2023 IEEE International Conference on Big Data (BigData)</t>
  </si>
  <si>
    <t>1064-1069</t>
  </si>
  <si>
    <t>Measurement_x000D_
Image segmentation_x000D_
Visualization_x000D_
Interference_x000D_
Big Data_x000D_
Benchmark testing_x000D_
Behavioral sciences_x000D_
IBA_x000D_
Attribution maps_x000D_
interpretability_x000D_
LRP_x000D_
human-perceptual</t>
  </si>
  <si>
    <t>10.1109/BigData59044.2023.10386271</t>
  </si>
  <si>
    <t>Improve interpretability of Information Bottlenecks for Attribution with Layer-wise Relevance Propagation</t>
  </si>
  <si>
    <t>Researchers have developed various visualization techniques, such as attribution maps, to understand which parts of an input contribute most to a model’s decision. However, existing methods often produce disparate results and may lack human-perceptual interpretability. In this work, we propose Relevance-IBA, a novel approach that combines the strengths of Information Bottleneck Attribution (IBA) and Layer-wise Relevance Propagation’s (LRP) method to estimate more accurate and human-perceptually interpretable attribution maps. Our method accentuates the contours and subtle details of the identified object, making the model’s decisions more intuitively understandable. Additionally, we introduce a segmentation-oriented evaluation technique, which assesses the capacity of interpretability methods by emphasizing the most important pixels within an object’s boundaries. We benchmark Relevance-IBA against various methodologies, including DeepLIFT, Integrated Gradients, Guided-BP, Guided-GradCAM, IBA, and InputIBA. Our results indicate that Relevance-IBA not only boosts attribution accuracy but also prioritizes human-perceptual clarity, making it a valuable tool for interpreting complex model behaviors.</t>
  </si>
  <si>
    <t>R. Daroya; A. Sun; S. Maji</t>
  </si>
  <si>
    <t>2023 IEEE/CVF International Conference on Computer Vision Workshops (ICCVW)</t>
  </si>
  <si>
    <t>149-158</t>
  </si>
  <si>
    <t>Analytical models_x000D_
Visualization_x000D_
Sensitivity_x000D_
Computational modeling_x000D_
Predictive models_x000D_
Transformers_x000D_
Behavioral sciences</t>
  </si>
  <si>
    <t>10.1109/ICCVW60793.2023.00022</t>
  </si>
  <si>
    <t>COSE: A Consistency-Sensitivity Metric for Saliency on Image Classification</t>
  </si>
  <si>
    <t>We present a set of metrics that utilize vision priors to effectively assess the performance of saliency methods on image classification tasks. To understand behavior in deep learning models, many methods provide visual saliency maps emphasizing image regions that most contribute to a model prediction. However, there is limited work on analyzing the reliability of saliency methods in explaining model decisions. We propose the metric COnsistency-SEnsitivity (COSE) that quantifies the equivariant and invariant properties of visual model explanations using simple data augmentations. Through our metrics, we show that although saliency methods are thought to be architecture-independent, most methods could better explain transformer-based models over convolutional-based models. In addition, GradCAM was found to outperform other methods in terms of COSE but was shown to have limitations such as lack of variability for fine-grained datasets. The duality between consistency and sensitivity allow the analysis of saliency methods from different angles. Ultimately, we find that it is important to balance these two metrics for a saliency map to faithfully show model behavior.</t>
  </si>
  <si>
    <t>A. Das; S. Rana</t>
  </si>
  <si>
    <t>2021 12th International Conference on Computing Communication and Networking Technologies (ICCCNT)</t>
  </si>
  <si>
    <t>Heating systems_x000D_
Training_x000D_
Ultrasonic imaging_x000D_
Transfer learning_x000D_
Computer architecture_x000D_
Medical services_x000D_
Feature extraction_x000D_
Breast cancer detection_x000D_
computer-aided detection_x000D_
convolutional neural network_x000D_
deep learning_x000D_
residual network</t>
  </si>
  <si>
    <t>10.1109/ICCCNT51525.2021.9580160</t>
  </si>
  <si>
    <t>Exploring Residual Networks for Breast Cancer Detection from Ultrasound Images</t>
  </si>
  <si>
    <t>Breast cancer is one of the most leading causes of cancer globally, affecting mostly women at any age after their puberty. Although the disease is fatal and leads to thousands of deaths yearly, it is mostly curable if detected in its early stages. As a result, fast and accurate detection techniques play a crucial role in patient survival. Earlier, doctors resorted to manual detection techniques for this purpose. However, these techniques were slow and often subjective to the expertise of the doctor. Thus, with the advancement of technology, these primitive methods were replaced by computer-aided detection algorithms. One such algorithm is the convolutional neural network (CNN). It is a deep learning algorithm that has demonstrated promising results in medical image analysis in the past few years. It possesses special neural receptors called filters, which can automatically extract features from an image without human intervention. This fascinating property has urged several researchers to propose different CNN architectures in the past few years, each having its unique methodology. In this work, the residual network (ResNet) architecture is studied for detecting breast cancer from ultrasound images. ResNets have special skip connections which make them superior to other architectures. Depending on the depth, a ResNet can be categorized into different types - ResNet-18, ResNet-34, ResNet-50, ResNet-101, and ResNet-152 being some widely used ones. In this research, each of these five ResNets is trained on the Breast Ultrasound Images (BUSI) dataset twice - first from scratch and second using transfer learning. Thereafter, their performances are evaluated and compared using four metrics - F1-score, precision, recall, and accuracy. The confusion matrices are also plotted for a better understanding of the results. Lastly, the class activation heatmaps are generated using GradCAM++ to visualize the crucial regions of the ultrasound images as interpreted by the ResNet architectures. The code used to conduct this research can be accessed at https://github.com/iamarijit/US-cancer-resnet.</t>
  </si>
  <si>
    <t>A. Dhere; J. Sivaswamy</t>
  </si>
  <si>
    <t>1496-1505</t>
  </si>
  <si>
    <t>COVID-19_x000D_
Pulmonary diseases_x000D_
Lung_x000D_
X-ray imaging_x000D_
Computed tomography_x000D_
Decoding_x000D_
Coronaviruses_x000D_
2019-nCoV_x000D_
attention_x000D_
COVID_x000D_
chest X-ray_x000D_
classification_x000D_
explainability_x000D_
pneumonia_x000D_
SARS-CoV-2</t>
  </si>
  <si>
    <t>10.1109/JBHI.2022.3151171</t>
  </si>
  <si>
    <t>COVID Detection From Chest X-Ray Images Using Multi-Scale Attention</t>
  </si>
  <si>
    <t>Deep learning based methods have shown great promise in achieving accurate automatic detection of Coronavirus Disease (covid) - 19 from Chest X-Ray (cxr) images.However, incorporating explainability in these solutions remains relatively less explored. We present a hierarchical classification approach for separating normal, non-covid pneumonia (ncp) and covid cases using cxr images. We demonstrate that the proposed method achieves clinically consistent explainations. We achieve this using a novel multi-scale attention architecture called Multi-scale Attention Residual Learning (marl) and a new loss function based on conicity for training the proposed architecture. The proposed classification strategy has two stages. The first stage uses a model derived from DenseNet to separate pneumonia cases from normal cases while the second stage uses the marl architecture to discriminate between covid and ncp cases. With a five-fold cross validation the proposed method achieves 93%, 96.28%, and 84.51% accuracy respectively over three large, public datasets for normal vs. ncp vs. covid classification. This is competitive to the state-of-the-art methods. We also provide explanations in the form of GradCAM attributions, which are well aligned with expert annotations. The attributions are also seen to clearly indicate that marl deems the peripheral regions of the lungs to be more important in the case of covid cases while central regions are seen as more important in ncp cases. This observation matches the criteria described by radiologists in clinical literature, thereby attesting to the utility of the derived explanations.</t>
  </si>
  <si>
    <t>2020 International Conference on Intelligent Systems and Computer Vision (ISCV)</t>
  </si>
  <si>
    <t>Diseases_x000D_
Agriculture_x000D_
Task analysis_x000D_
Image segmentation_x000D_
Convolutional neural networks_x000D_
Machine learning_x000D_
Databases_x000D_
GradCAM_x000D_
Mask R-CNN_x000D_
image processing_x000D_
classification_x000D_
deep learning_x000D_
plant diseases detection</t>
  </si>
  <si>
    <t>The world has been witnessing a population boom that has several implications including food security. Wheat is one of the world's most important crops in terms of production and consumption, and demand for it is increasing. On the other hand, diseases can damage the abundance and the quality of the crop, so this needs to be revealed through advanced methods. In recent years, along with the various technological developments, using Convolutional Neural Networks (CNN) has proved to be showing great results in many image classification tasks. However, deep learning models are generally considered as black boxes and it is difficult to understand what the model has learned. The purpose of this article is to detect diseases from wheat images using CNNs and to use visualization methods to understand what these models have learned. For this reason, a wheat database has been collected by CRA-W (Walloon Agricultural Research Center), which contains 1163 images and is classified into two groups namely sick and healthy. Moreover, we propose to use the mask R-CNN for segmentation and extraction of wheat spikes from the background. Furthermore, a visualization and interpretation method, namely Gradient-weighted Class Activation Mapping (GradCAM), is used to locate the disease on the wheat spikes in a non-supervised way. GradCAM is actually used generally to highlight the most important regions from the CNN model's viewpoint that are used to perform the classification.</t>
  </si>
  <si>
    <t>2023 Second International Conference On Smart Technologies For Smart Nation (SmartTechCon)</t>
  </si>
  <si>
    <t>462-468</t>
  </si>
  <si>
    <t>Visualization_x000D_
Biological system modeling_x000D_
Crops_x000D_
Closed box_x000D_
Production_x000D_
Transformers_x000D_
Prediction algorithms_x000D_
Explainable AI_x000D_
Tomato Leaf Disease_x000D_
Classification_x000D_
Vision Transformers_x000D_
EfficientNet-B7_x000D_
ResNet101_x000D_
Integrated Gradient_x000D_
GradCAM</t>
  </si>
  <si>
    <t>Artificial Intelligence has advanced expeditiously over the past years and led to the production of highly complex and leading-edge models deployed to solve problems in a challenging environment. With high dependence on the machine made predictions, it has now become a necessity to be able to look transparently across the black-box and understand the features that influence it’s ability to make decisions. The paper contributes in understanding the rationality and explainability of the models in the classification of diseases in tomato fruit plants. We employed three models, Resnet101, EfficientNetB7, Vision Transformer (vit_base_patch16_224) to classify the disease present in tomato leaf. The opacity of these models are deciphered by implementing two Explainable Artificial Intelligence(XAI) methods, GuidedGradCAM and Integrated Gradients. The explainable algorithms help in unveiling and analyzing the factor that affects the prediction. According to the experimental results, EfficientNet-B7 demonstrates an exceptional level of accuracy, reaching a staggering 99.84% and classifies the disease based on the lesions. The Resnet101 also achieves a significant accuracy of 95.23%, whereas the vision transformer is able to achieve an accuracy of 77.76% only. The paper visualizes and draws a comparison between the two CNN-based models by evaluating their performance based on their validation loss and and accuracy. Interpreting the model’s intelligibility would help in strengthening the practitioner’s trust with the machine-driven decisions and ensure early detection and classification of the disease which would help in taking appropriate measures to prevent substantial crop and economical loss.</t>
  </si>
  <si>
    <t>K. Gu; T. Prioleau; S. Vosoughi</t>
  </si>
  <si>
    <t>2022 26th International Conference on Pattern Recognition (ICPR)</t>
  </si>
  <si>
    <t>4507-4513</t>
  </si>
  <si>
    <t>Measurement_x000D_
Deep learning_x000D_
Visualization_x000D_
Time series analysis_x000D_
Neural networks_x000D_
Electrocardiography_x000D_
Physiology</t>
  </si>
  <si>
    <t>10.1109/ICPR56361.2022.9956192</t>
  </si>
  <si>
    <t>Going Beyond Accuracy: Interpretability Metrics for CNN Representations of Physiological Signals</t>
  </si>
  <si>
    <t>Though deep neural networks such as convolutional neural networks (CNNs) have achieved high predictive accuracy on many tasks in health domain, the lack of explanation and reasoning behind the predictions can cause adverse consequences in many “high stakes” applications such as predicting mortality in ICU. Existing popular explanation methods, including GradCam, LIME, SHAP and so on, are designed for image and text data, but not for physiological data in the form of time series like electrocardiograms (ECG). Moreover, these methods can only generate interpretable visualizations for qualitative evaluations while cannot satisfy the need for quantitative evaluations. To fill this gap, we introduce a novel generalized framework for quantitatively explaining CNN representations for physiological signals called ENPhyS. Specifically, inspired by visual concepts (e.g. parts, objects and scenes), we first define physiological concepts which are drawn from existing clinical knowledge (e.g. P wave in ECG). ENPhys further measures the interpretability of CNN by the alignment between a hidden CNN unit and each physiological concept. Finally, we propose novel interpretability metrics —Consistency, Confidence, Completeness and C-Score —to quantify the interpretability of CNNs from different perspectives. We evaluate our metrics on three state-of-the-art CNN models and on three types of physiological signals. Results from user study suggest that our metrics are in line with human intuition of interpretability.</t>
  </si>
  <si>
    <t>P. Gulati; Q. Hu; S. F. Atashzar</t>
  </si>
  <si>
    <t>IEEE Robotics and Automation Letters</t>
  </si>
  <si>
    <t>2650-2657</t>
  </si>
  <si>
    <t>Electromyography_x000D_
Calibration_x000D_
Robots_x000D_
Training_x000D_
Machine learning algorithms_x000D_
Feature extraction_x000D_
Deep learning_x000D_
machine learning_x000D_
medical robotics_x000D_
prosthetics</t>
  </si>
  <si>
    <t>10.1109/LRA.2021.3062320</t>
  </si>
  <si>
    <t>Toward Deep Generalization of Peripheral EMG-Based Human-Robot Interfacing: A Hybrid Explainable Solution for NeuroRobotic Systems</t>
  </si>
  <si>
    <t>This letter investigates the feasibility of a generalizable solution for human-robot interfaces through peripheral multichannel Electromyography (EMG) recording. We propose a tangential approach in comparison to the literature to minimize the need for (re)calibration of the system for new users. The proposed algorithm decodes the signal space and detects the common underlying global neurophysiological components, which can be detected robustly across various users, minimizing the need for retraining and (re)calibration. The research question is how to go beyond techniques that detect a high number of gestures for a given individual (which requires extensive calibration) and achieve an algorithm that can detect a lower number of classes but without the need for (re)calibration. The outcomes of this letter address a challenge affecting the usability and acceptance of advanced myoelectric prostheses. For this, the paper proposes an explainable generalizable hybrid deep learning architecture that incorporates CNN and LSTM. We also utilize the GradCAM analysis to explain and optimize the structure of the generalized model, securing higher computational performance whiles proposing a shallower design.</t>
  </si>
  <si>
    <t>Y. Hirose; S. Ono</t>
  </si>
  <si>
    <t>2023 18th International Conference on Machine Vision and Applications (MVA)</t>
  </si>
  <si>
    <t>Adaptation models_x000D_
Visualization_x000D_
Perturbation methods_x000D_
Machine vision_x000D_
Closed box_x000D_
Artificial neural networks_x000D_
Predictive models</t>
  </si>
  <si>
    <t>10.23919/MVA57639.2023.10215758</t>
  </si>
  <si>
    <t>Black-box Adversarial Attack against Visual Interpreters for Deep Neural Networks</t>
  </si>
  <si>
    <t>With the rapid development of deep neural networks (DNNs), eXplainable AI, which provides a basis for prediction on inputs, has become increasingly important. In addition, DNNs have a vulnerability called an Adversarial Example (AE), which can cause incorrect output by applying special perturbations to inputs. Potential vulnerabilities can also exist in image interpreters such as GradCAM, necessitating their investigation, as these vulnerabilities could potentially result in misdiagnosis within medical imaging. Therefore, this study proposes a black-box adversarial attack method that misleads the image interpreter using Sep-CMA-ES. The proposed method deceptively shifts the focus area of the image interpreter to a different location from that of the original image while maintaining the same predictive labels.</t>
  </si>
  <si>
    <t>2021 6th International Conference on Inventive Computation Technologies (ICICT)</t>
  </si>
  <si>
    <t>1171-1178</t>
  </si>
  <si>
    <t>Location awareness_x000D_
Heating systems_x000D_
Visualization_x000D_
Dictionaries_x000D_
Annotations_x000D_
Object recognition_x000D_
Deep Learning_x000D_
Convolutional Neural Network_x000D_
Grad-CAM_x000D_
Classification&amp;Mask R-CNN</t>
  </si>
  <si>
    <t>This paper presents the conceptually simple, flexible and more suitable framework to demonstrate object localization and object recognition by Mask RCNN along with Grad-CAM (Mask-GradCAM) method that is mainly used to build framework to provide the better visual identification. Because Mask RCNN based method provides a function that take array of pixel values for load the images and aspects of the prediction dictionary such that all class labels, scores, bounding boxes and will plot the image with all these annotations. However, applying this method along with Mask RCNN raises significant challenges such that image pixel issues and quality breaking while producing the heat map. Therefore, this entire system is mentioned as Mask-Grad CAM. This research work considers GradCAM++ and GradCAM methods as basic functionality derivation to implement the Mask-GradCAM. In this combination of MaskRCNN along with Grad-CAM provide the fine-grained display to generate higher resolution visual representation. Hence this method is presented as Mask-GradCAM.</t>
  </si>
  <si>
    <t>K. J; P. M. W; K. N; C. M. N. A; C. P. N. N</t>
  </si>
  <si>
    <t>2023 International Conference on Innovations in Engineering and Technology (ICIET)</t>
  </si>
  <si>
    <t>Deep learning_x000D_
Learning systems_x000D_
Visualization_x000D_
Technological innovation_x000D_
Pulmonary diseases_x000D_
Predictive models_x000D_
Convolutional neural networks_x000D_
Convolutional Neural Network (CNN)_x000D_
GradCAM_x000D_
X-ray images_x000D_
Pneumonia</t>
  </si>
  <si>
    <t>Millions of people throughout the world suffer from pneumonia, an extremely serious respiratory disease. An early and accurate diagnosis is crucial for the quick and effective treatment of pneumonia. Deep learning approaches have recently demonstrated promise in the recognition of medical imaging, particularly X-ray pictures. We propose deep learning-based method for recognising pneumonia from X-ray pictures in this paper. To categorise photos, we employ a convolutional neural network (CNN), and the Grad-CAM method visualises the model's predictions. The results of our investigation indicate that our proposed approach may successfully and reliably detect pneumonia in X-ray images and provide visual reasons for the predictions. By increasing the effectiveness and precision of pneumonia diagnosis, the application of this methodology has the potential to have a substantial impact on the medical industry.</t>
  </si>
  <si>
    <t>Dementia_x000D_
Magnetic resonance imaging_x000D_
Senior citizens_x000D_
Convolutional neural networks_x000D_
Biomedical imaging_x000D_
Predictive models_x000D_
Feature extraction_x000D_
Augmentation_x000D_
generative adversarial networks_x000D_
mild cognitive impairment</t>
  </si>
  <si>
    <t>Deep learning_x000D_
Training_x000D_
Analytical models_x000D_
Visualization_x000D_
Computational modeling_x000D_
Predictive models_x000D_
Prediction algorithms_x000D_
eXplainable Artificial Intelligence (xAI)_x000D_
colorectal cancer_x000D_
polyp segmentation_x000D_
inductive clustering_x000D_
image matching_x000D_
Feature Pyramid Network (FPN)</t>
  </si>
  <si>
    <t>A. Khan; L. Janik; H. Gunes</t>
  </si>
  <si>
    <t>2022 10th International Conference on Affective Computing and Intelligent Interaction Workshops and Demos (ACIIW)</t>
  </si>
  <si>
    <t>Location awareness_x000D_
Deep learning_x000D_
Visualization_x000D_
Art_x000D_
Face recognition_x000D_
Conferences_x000D_
Museums_x000D_
computational art_x000D_
facial expressions_x000D_
sculptures_x000D_
buddhas_x000D_
multi-label classification</t>
  </si>
  <si>
    <t>10.1109/ACIIW57231.2022.10086035</t>
  </si>
  <si>
    <t>Computational Recognition of Facial Expressions in Sculpture</t>
  </si>
  <si>
    <t>The art of understating emotions across different cultures is a subjective experience; however, what cross-cuts the cultural expression is our human neuro-physiological ability to communicate our feelings via facial expressions. Combined with AI know-how, such capacity provides us with unique opportunities to trace the artists' intentions to communicate particular emotions to the viewer, from those in the deep past c. 25,000 years ago to the contemporary sculpture. Here, we present a computational approach to analyzing facial expressions depicted in artwork of numerous regions, specifically sculptures. We collected a large dataset of sculptures' faces from online collections of various museums and used the existing methods to assign labels to each image. Each instance may have more than one label predicted by different methods, so we treated facial expression recognition as a multi-label classification problem. We designed deep learning-based frameworks using different backbones to categorize facial expressions in sculptures. We also implemented GradCAM to visualize the attributes in each image contributing the most to the predicted labels.</t>
  </si>
  <si>
    <t>A. Khare; P. Patel; S. Sankaranarayanan; P. Lorenz</t>
  </si>
  <si>
    <t>ICC 2022 - IEEE International Conference on Communications</t>
  </si>
  <si>
    <t>2580-2585</t>
  </si>
  <si>
    <t>COVID-19_x000D_
Deep learning_x000D_
Visualization_x000D_
Pandemics_x000D_
Pulmonary diseases_x000D_
Medical services_x000D_
Predictive models_x000D_
COVID_x000D_
ResNet_x000D_
DensetNet_x000D_
CNN_x000D_
LSTM</t>
  </si>
  <si>
    <t>10.1109/ICC45855.2022.9838254</t>
  </si>
  <si>
    <t>COVID Pneumonia Prediction Based on Chest X-Ray Images Using Deep Learning</t>
  </si>
  <si>
    <t>COVID which is one of the deadliest Pandemic of this era stuck the entire world which emerged from Wuhan, China in 2019. The pandemic had an extensive impact on unemployment and even deaths. This Pandemic was so new that a lot of medical doctors were involved in research towards diagnosing the chest X-ray images for COVID symptoms. Along with COVID, there have been other complications found like Pneumonia which resulted in the second wave of COVID leading to deaths. There has been good research done by Deep learning researchers in predicting the COVID and also COVID with Pneumonia classification based on Chest X-rays. But the challenge in earlier work is the limited data set which ultimately resulted in higher accuracy. The reason being smaller data set had very fewer number features for training which ultimately resulted in higher accuracy during prediction. So, towards obviating the above-mentioned challenge, we here have collected a fairly larger data set for better prediction. In addition, authors have proposed Convolution Neural Network - Long Short-Term Memory (CNN-LSTM) model by allowing ResNEt-101 as pretrained model for CNN along with other pretrained deep learning models like ResNEt-101, Inception V3, DenseNET-169, and Inception-ResNET V2. In addition to the prediction of chest X-ray images into different classes as COVID, COVID with Pneumonia, Viral Pneumonia, and Healthy, GradCAM has been used for giving a visual explanation for deep learning model resulting in higher accuracy which are ResNET-101, DenseNET-169 and CNN-LSTM. The GradCAM shows the Model built can predict the image perfectly. These would be stored in Cloud for access by doctors for medication.</t>
  </si>
  <si>
    <t>T. Kobayashi; T. Haraguchi; T. Nagao</t>
  </si>
  <si>
    <t>2022 IEEE 4th Global Conference on Life Sciences and Technologies (LifeTech)</t>
  </si>
  <si>
    <t>596-599</t>
  </si>
  <si>
    <t>Visualization_x000D_
Databases_x000D_
Conferences_x000D_
Breast_x000D_
Life sciences_x000D_
Lesions_x000D_
Cancer_x000D_
calcifications_x000D_
mammography_x000D_
deep learning_x000D_
explainability</t>
  </si>
  <si>
    <t>10.1109/LifeTech53646.2022.9754829</t>
  </si>
  <si>
    <t>Classifying the Presence or Absence of Calcifications on Mammography using the EfficientNet: A Feasibility Study</t>
  </si>
  <si>
    <t>Calcifications on mammography are important to detect malignant breast lesions. Here a deep learning-based classifier is used to differentiate the presence and absence of breast calcifications on mammography images. A total of 1471 calcification lesions included in the Digital Database for Screening Mammography were used for the dataset. High-density breasts (breast density of ≥4) were excluded from the dataset. The calcification lesion dataset was created from randomly cropped patch images from each lesion that overlapped calcification lesion masks. The non-calcification dataset was created using sliding window patch images and excluded any calcification lesion mask overlap. Subsequently, the same number of patch images was created. MLO and CC binary classifiers were created using the EfficientNet(B0). The evaluation was performed via a hold-out method. Each dataset was divided based on each patient. The accuracy and AUC were calculated to evaluate model classification accuracy. The GradCAM was used to evaluate the explainability. Our EfficientNetB0-based classifiers yielded an Acc of 0.76 (left, MLO), 0.79 (right, MLO), 0.75 (left, CC), and 0.77 (right, CC) and an AUC of 0.85 (left, MLO), 0.88 (right, MLO), 0.83 (left, CC), and 0.86 (right, CC). The AUC of all models was &gt;0.8, and the visualization map by the GradCAM determined the calcifications globally. These results show the possibility of an explainability in the classification problem to differentiate the presence and absence of breast calcifications.</t>
  </si>
  <si>
    <t>T. Kondo; A. Teramoto; E. Watanabe; Y. Sobue; H. Izawa; K. Saito; H. Fujita</t>
  </si>
  <si>
    <t>191-198</t>
  </si>
  <si>
    <t>Electrocardiography_x000D_
Convolutional neural networks_x000D_
Prognostics and health management_x000D_
Cardiac disease_x000D_
Shape_x000D_
Myocardium_x000D_
Rhythm_x000D_
Deep learning_x000D_
electrocardiogram_x000D_
GradCAM_x000D_
mortality prediction</t>
  </si>
  <si>
    <t>10.1109/JTEHM.2023.3250352</t>
  </si>
  <si>
    <t>Prediction of Short-Term Mortality of Cardiac Care Unit Patients Using Image-Transformed ECG Waveforms</t>
  </si>
  <si>
    <t>Objective: The early detection of cardiac disease is important because the disease can lead to sudden death and poor prognosis. Electrocardiograms (ECG) are used to screen for cardiac diseases and are useful for the early detection and determination of treatment strategies. However, the ECG waveforms of cardiac care unit (CCU) patients with severe cardiac disease are often complicated by comorbidities and patient conditions, making it difficult to predict the severity of further cardiac disease. Therefore, this study predicts the short-term prognosis of CCU patients to detect further deterioration in CCU patients at an early stage. Methods: The ECG data (II, V3, V5, aVR induction) of CCU patients were converted to image data. The transformed ECG images were used to predict short-term prognosis with a two-dimensional convolutional neural network (CNN). Results: The prediction accuracy was 77.3%. Visualization by GradCAM showed that the CNN tended to focus on the shape and regularity of waveforms, such as heart failure and myocardial infarction. Conclusion: These results suggest that the proposed method may be useful for short-term prognosis prediction using the ECG waveforms of CCU patients. Clinical impact: The proposed method could be used to determine the treatment strategy and choose the intensity of treatment after admission to the CCU.</t>
  </si>
  <si>
    <t>A. Krishnan; S. Rajesh; K. Gollapinni; M. Mohan; G. Srinivasa</t>
  </si>
  <si>
    <t>2023 4th International Conference for Emerging Technology (INCET)</t>
  </si>
  <si>
    <t>COVID-19_x000D_
Support vector machines_x000D_
Image segmentation_x000D_
Computed tomography_x000D_
Biological system modeling_x000D_
Lung_x000D_
X-rays_x000D_
Lung Segmentation_x000D_
Chest X-Rays_x000D_
CT Scans_x000D_
SVM_x000D_
Transfuse_x000D_
PCA_x000D_
Discrete Wavelet Transform_x000D_
Contrast and Erosion_x000D_
GradCAM</t>
  </si>
  <si>
    <t>10.1109/INCET57972.2023.10170302</t>
  </si>
  <si>
    <t>A Comparative Analysis of Chest X-Rays and CT Scans Towards COVID-19 Detection</t>
  </si>
  <si>
    <t>The diagnosis of COVID-19 is greatly aided by radiological chest examinations. In this study, we conduct a comprehensive comparison of various classification models to classify COVID-19 from Chest X-ray images and devise an automated, precise model to segment the COVID-19 infected regions present in Chest CT Scans and make the results interpretable with the use of GradCAM. A total of 4000 images from the COVID-19 Radiography dataset were used for training and evaluating the models. In order to predict COVID-19 in Chest X-rays, the transfuse segmentation model [1] is used to segment the lungs. Radiomic features are then extracted and the most essential features were selected using Principle Component Analysis which were then used to train six classification models, namely support vector machines (SVM), Logistic Regression (LR), Decision Trees, AdaBoost (AB), K-Nearest Neighbors (KNN) and Random Forest. Support vector machines was the best-performing classifier with an accuracy of 0.9115 and an AUC of 0.9117. In the case of CT scans, lungs were segmented using image processing techniques, and a total of 2482 CT Scans from the SARS-COV-2 CT-Scan Dataset were used to train a ResNet18 CNN architecture, whose results were made interpretable by employing gradCAM. Furthermore, infections were segmented from the CT scans using two image processing based approaches, the first making use of the Discrete Wavelet Transform and the second approach performing morphological operations. The ResNet18 CNN used for assisting GradCAM achieved a testing accuracy of 96.34%. In order to evaluate the results, the infections were compared with 25 manually segmented CT scans and achieved a precision of 0.975, a recall of 0.960, and an IOU score of 0.937.</t>
  </si>
  <si>
    <t>2021 5th IEEE International Conference on Cybernetics (CYBCONF)</t>
  </si>
  <si>
    <t>034-038</t>
  </si>
  <si>
    <t>Image recognition_x000D_
Shape_x000D_
Conferences_x000D_
Focusing_x000D_
Feature extraction_x000D_
Proposals_x000D_
Medical diagnostic imaging_x000D_
Deep Learning_x000D_
Immune Cell_x000D_
GradCAM_x000D_
Image Processing</t>
  </si>
  <si>
    <t>This paper focuses on the analysis of behavior of immune cells for supporting diagnosis. The previous work has proposed to detect immune cells from medical images by recognition frequency space. However, the work has a problem that selects a region including multiple cells as a single cell. This paper aims to relax the problem by focusing the locality of cell shapes. Our proposal uses gradient-weighted class activation mapping (GradCAM) to capture locality characteristics of immune cells. The results shows that the densely inhabited immune cells are correctly selected. Our proposal has some issues that a cell is occasionally detected as multiple ones. We consider that this issue is can be solved by image processing techniques such as non-maximum suppression.</t>
  </si>
  <si>
    <t>I. Labiadh; H. Seddik; L. Boubchir</t>
  </si>
  <si>
    <t>2022 Ninth International Conference on Software Defined Systems (SDS)</t>
  </si>
  <si>
    <t>Heating systems_x000D_
Visualization_x000D_
Three-dimensional displays_x000D_
Image recognition_x000D_
Face recognition_x000D_
Software algorithms_x000D_
Feature extraction_x000D_
Biometrics_x000D_
face detection_x000D_
deep learning_x000D_
Grad-CAM_x000D_
texture analysis_x000D_
identification</t>
  </si>
  <si>
    <t>10.1109/SDS57574.2022.10062941</t>
  </si>
  <si>
    <t>Face Detection and Identification based on 2D and 3D Deep Texture Features</t>
  </si>
  <si>
    <t>The majority of conventional biometric systems have emphasized the use of manually created features for facial identification. Multimodal biometric systems, however, incorporate a number of traits. Given how challenging it is to create dependable features that can adapt to changes in the input images, feature extraction is unquestionably a crucial step for the effectiveness of these approaches. In this study, we introduce novel methods for identifying deep-face textures for the purpose to recognize people. The proposed methods are based on texture analysis, LBP algorithm, skewness coefficients, and morphological transformations using heatmap visualizations of GradCAM, GradCAM++, and ScoreCam models. They allow recognizing people using facial location from 2D or 3D images with texture masking and face bartering.</t>
  </si>
  <si>
    <t>H. Li; X. Li; B. Shen; Z. Zheng</t>
  </si>
  <si>
    <t>2021 2nd International Seminar on Artificial Intelligence, Networking and Information Technology (AINIT)</t>
  </si>
  <si>
    <t>153-161</t>
  </si>
  <si>
    <t>Deep learning_x000D_
Seminars_x000D_
Image recognition_x000D_
Natural languages_x000D_
User interfaces_x000D_
Breast cancer_x000D_
Medical diagnosis_x000D_
Convolutional neural network_x000D_
Natural language process_x000D_
Knowledge graph_x000D_
Chatbot_x000D_
Flask</t>
  </si>
  <si>
    <t>10.1109/AINIT54228.2021.00039</t>
  </si>
  <si>
    <t>An Integrated AI Medical Diagnosis Application Based on Deep Learning</t>
  </si>
  <si>
    <t>AI medical diagnosis has become an easy and effective approach method by which patients could get their health reports faster. This paper introduced an integrated AI medical diagnosis application with an image recognition system, chat system, and user interface. With the powerful help of the Convolutional Neural Network (CNN), an accurate image diagnosis system for breast cancer is ready to use. The chat system provides a bond between AI and patients through communication, using the Q&amp;A sub-system based on Knowledge Graph (KG) and the casual chat sub-system based on Natural Language Process (NLP). Health condition query and common converse are satisfied respectively by Q&amp;A sub-system and casual chat sub-system. Depending on the user’s intentional probability of medical problems, the casual chat system will interfere if the user’s intention is not matched in Knowledge Graph. Besides the deep learning part to process patient’s data, an easy-to-use user interface is also designed to guide people getting intended information, using Flask framework to offer API and jQuery to send a request. Our accuracy achieves 0.88 in breast cancer detection, and the result of GradCAM indicates the CNN network has a high performance on such a task. The practical experiment shows that the patient’s intention can proceed well in the chat system and that application can provide people advantageous feedback according to their health condition.</t>
  </si>
  <si>
    <t>Y. Lin; M. Chen; W. Wang; B. Wu; K. Li; B. Lin; H. Liu; X. He</t>
  </si>
  <si>
    <t>2023 IEEE/CVF Conference on Computer Vision and Pattern Recognition (CVPR)</t>
  </si>
  <si>
    <t>15305-15314</t>
  </si>
  <si>
    <t>Training_x000D_
Computer vision_x000D_
Costs_x000D_
Codes_x000D_
Semantic segmentation_x000D_
Real-time systems_x000D_
Pattern recognition_x000D_
Segmentation_x000D_
grouping and shape analysis</t>
  </si>
  <si>
    <t>10.1109/CVPR52729.2023.01469</t>
  </si>
  <si>
    <t>CLIP is Also an Efficient Segmenter: A Text-Driven Approach for Weakly Supervised Semantic Segmentation</t>
  </si>
  <si>
    <t>Weakly supervised semantic segmentation (WSSS) with image-level labels is a challenging task. Mainstream approaches follow a multi-stage framework and suffer from high training costs. In this paper, we explore the potential of Contrastive Language-Image Pre-training models (CLIP) to localize different categories with only image-level labels and without further training. To efficiently generate high-quality segmentation masks from CLIP, we propose a novel WSSS framework called CLIP-ES. Our framework improves all three stages of WSSS with special designs for CLIP: 1) We introduce the softmax function into GradCAM and exploit the zero-shot ability of CLIP to suppress the confusion caused by non-target classes and backgrounds. Mean-while, to take full advantage of CLIP, we re-explore text inputs under the WSSS setting and customize two text-driven strategies: sharpness-based prompt selection and synonym fusion. 2) To simplify the stage of CAM refinement, we propose a real-time class-aware attention-based affinity (CAA) module based on the inherent multi-head self-attention (MHSA) in CLIP- ViTs. 3) When training the final segmentation model with the masks generated by CLIP, we introduced a confidence-guided loss (CGL) focus on confident regions. Our CLIP-ES achieves SOTA performance on Pascal VOC 2012 and MS COCO 2014 while only taking 10% time of previous methods for the pseudo mask generation. Code is available at https://github.com/linyq2117/CLIP-ES.</t>
  </si>
  <si>
    <t>B. Liu; X. Wu; B. Yuan</t>
  </si>
  <si>
    <t>Heating systems_x000D_
Learning systems_x000D_
Annotations_x000D_
Computational modeling_x000D_
Signal processing_x000D_
Predictive models_x000D_
Loss measurement_x000D_
DNNs_x000D_
Computer Vision_x000D_
Explanation Learning_x000D_
Explanation Heatmaps</t>
  </si>
  <si>
    <t>10.1109/ICASSP49357.2023.10096766</t>
  </si>
  <si>
    <t>ICEL: Learning with Inconsistent Explanations</t>
  </si>
  <si>
    <t>Generating the heatmaps is one of the explanation methods to show what regions the model use to predict in vision tasks. GradCAM is a popular approach to provide such heatmaps. However, GradCAM is post-hoc, and its heatmaps are not always meeting human annotations. Inspired by CGC (Contrastive GradCAM consistency), we propose ICEL (InConsistent Explanation Learning) method which introduces inconsistent explanation loss measured by cosine similarity on heatmaps. We show that our method can preserve classification accuracy, while the heatmaps generated by explanation methods are more consistent with human annotations, and the computational complexity is reduced from O(n2) to O(n), compared with CGC.</t>
  </si>
  <si>
    <t>J. Luna; E. Peláez; F. R. Loayza; A. Saravia; I. Obeso; V. Asanza</t>
  </si>
  <si>
    <t>2022 IEEE ANDESCON</t>
  </si>
  <si>
    <t>Deep learning_x000D_
Brain_x000D_
Magnetic resonance imaging_x000D_
Magnetic resonance_x000D_
Network architecture_x000D_
Behavioral sciences_x000D_
Pattern recognition_x000D_
Parkinson_x000D_
Impulsive Compulsive Disorders_x000D_
MRI</t>
  </si>
  <si>
    <t>10.1109/ANDESCON56260.2022.9989825</t>
  </si>
  <si>
    <t>Anatomical Patterns Recognition of Impulse Control Disorders of Parkinsonian Patients Using Deep Learning of MRI structural images</t>
  </si>
  <si>
    <t>In Parkinson’s disease (PD) several neuropsychiatric conditions are highly frequent including impulse control disorders (ICD). Driven by medication’s side-effects, these disorders lead to issues in self-control over rewarding cues that produce excessive behavior. Yet, objective means to detect and diagnose presence and severity of impulsivity in PD is lacking. The method developed in this work seeks to identify anatomical patterns in magnetic resonance images, which allow to classify PD with ICD vs PD patients using deep learning techniques. The proposed method includes pre-processing techniques to standardize magnetic resonance images. Different experiments using a variety of deep learning architectures were designed to classify the patterns. A GradCAM technique was also used for identifying the regions where the anatomical patterns were identified, which differentiate the two groups. We reveal an objective way to predict the presence of patterns associated to ICD in anatomical scans. Our model achieved an accuracy of 97.4% using Convolutional Neuronal Networks with an ensemble architecture; a novel objective clinical tool to diagnose ICD and better characterize detection of this severe neuropsychiatric problem.</t>
  </si>
  <si>
    <t>D. Mahapatra; Z. Ge; M. Reyes</t>
  </si>
  <si>
    <t>2443-2456</t>
  </si>
  <si>
    <t>Task analysis_x000D_
Medical diagnostic imaging_x000D_
Diseases_x000D_
Semantics_x000D_
Visualization_x000D_
X-ray imaging_x000D_
Image segmentation_x000D_
Generalized zero shot learning_x000D_
self supervised learning_x000D_
saliency_x000D_
classification_x000D_
X-ray_x000D_
pathology</t>
  </si>
  <si>
    <t>10.1109/TMI.2022.3163232</t>
  </si>
  <si>
    <t>Self-Supervised Generalized Zero Shot Learning for Medical Image Classification Using Novel Interpretable Saliency Maps</t>
  </si>
  <si>
    <t>In many real world medical image classification settings, access to samples of all disease classes is not feasible, affecting the robustness of a system expected to have high performance in analyzing novel test data. This is a case of generalized zero shot learning (GZSL) aiming to recognize seen and unseen classes. We propose a GZSL method that uses self supervised learning (SSL) for: 1) selecting representative vectors of disease classes; and 2) synthesizing features of unseen classes. We also propose a novel approach to generate GradCAM saliency maps that highlight diseased regions with greater accuracy. We exploit information from the novel saliency maps to improve the clustering process by: 1) Enforcing the saliency maps of different classes to be different; and 2) Ensuring that clusters in the space of image and saliency features should yield class centroids having similar semantic information. This ensures the anchor vectors are representative of each class. Different from previous approaches, our proposed approach does not require class attribute vectors which are essential part of GZSL methods for natural images but are not available for medical images. Using a simple architecture the proposed method outperforms state of the art SSL based GZSL performance for natural images as well as multiple types of medical images. We also conduct many ablation studies to investigate the influence of different loss terms in our method.</t>
  </si>
  <si>
    <t>N. Markov; K. Ushenin; Y. Bozhko</t>
  </si>
  <si>
    <t>2023 IEEE Ural-Siberian Conference on Biomedical Engineering, Radioelectronics and Information Technology (USBEREIT)</t>
  </si>
  <si>
    <t>072-075</t>
  </si>
  <si>
    <t>Recurrent neural networks_x000D_
Biological system modeling_x000D_
Atrial fibrillation_x000D_
Training data_x000D_
Rhythm_x000D_
Data models_x000D_
Convolutional neural networks_x000D_
recurrent neural network_x000D_
heart rate variability_x000D_
patient identification</t>
  </si>
  <si>
    <t>10.1109/USBEREIT58508.2023.10158853</t>
  </si>
  <si>
    <t>A Convolutional Recurrent Model for the Identification of Patients with Atrial Fibrillation Based on Heart Rate Variability Data During Sinus Rhythm</t>
  </si>
  <si>
    <t>Atrial fibrillation (AF) is one of the most common heart diseases in population. Timely diagnosis of AF is challenging due to the asymptomatic and episodic nature of the disease. It is therefore necessary to develop methods that can identify patients with AF using electrocardiographic data of normal sinus rhythm when there's no abnormal rhythm present in recordings. Models based on convolutional neural networks have been successful using 12-lead ECGs with high sampling rates. We believe it is possible to solve the problem with more generalised biomarker data of heart rate variability. We consider recurrent neural networks for this task. In this paper, we consider a convolutional recurrent neural network (CRNN) model with LSTM layers and compare its classification performance to a convolutional neural network (CNN) with a global average pooling operator. In addition, we generate attention maps of the CRNN model and demonstrate the peculiarities of its decision mechanism. Open PhysioNet data is used for model training; data from a local clinical hospital is used for model validation. In general, the CRNN model shows better patient classification results and provides interpretable attention maps with GradCAM++ method.</t>
  </si>
  <si>
    <t>R. Maurya; N. N. Pandey; V. P. Singh; T. Gopalakrishnan</t>
  </si>
  <si>
    <t>2023 International Conference on Recent Advances in Electrical, Electronics &amp; Digital Healthcare Technologies (REEDCON)</t>
  </si>
  <si>
    <t>688-692</t>
  </si>
  <si>
    <t>Plant diseases_x000D_
Visualization_x000D_
Convolution_x000D_
Neural networks_x000D_
Production_x000D_
Transformers_x000D_
Agriculture_x000D_
Plant disease classification_x000D_
Vision Transformer_x000D_
Convolution neural network_x000D_
Deep Learning</t>
  </si>
  <si>
    <t>10.1109/REEDCON57544.2023.10151342</t>
  </si>
  <si>
    <t>Plant Disease Classification using Interpretable Vision Transformer Network</t>
  </si>
  <si>
    <t>Agriculture is the backbone of the Indian economy and it caters to the basic necessity of food for billions. Hence, increasing the production yield is a serious challenge, however, it sometimes gets affected with the microorganism-caused infections that severely affects the per acre produce. Therefore, the objective of this study is to develop an automated system for an early detection of plant disease. In the proposed work, pre-trained Vision Transformer architecture has been fine-tuned for plant disease classification. The classification decision made by the proposed model has also been interpreted using the GradCAM algorithm with the help of visualisation. The performance of the proposed method has also been compared with the state-of-the-art pre-trained convolution neural networks fine-tuned for the same purpose. The proposed method has been tested with the ‘PlantVillage' public dataset which consisting of 39 classes of plant images. The experimental results show that the proposed method classifies the 39 classes (38 diseased/healthy, 1 leaf image without background) of plant images with 98.22% accuracy.</t>
  </si>
  <si>
    <t>1527-1530</t>
  </si>
  <si>
    <t>COVID-19_x000D_
Training_x000D_
Ultrasonic imaging_x000D_
Point of care_x000D_
Lung_x000D_
Computer architecture_x000D_
Data models</t>
  </si>
  <si>
    <t>The coronavirus disease 2019 (COVID-19) evolved into a global pandemic, responsible for a significant number of infections and deaths. In this scenario, point-of-care ultrasound (POCUS) has emerged as a viable and safe imaging modality. Computer vision (CV) solutions have been proposed to aid clinicians in POCUS image interpretation, namely detection/segmentation of structures and image/patient classification but relevant challenges still remain. As such, the aim of this study is to develop CV algorithms, using Deep Learning techniques, to create tools that can aid doctors in the diagnosis of viral and bacterial pneumonia (VP and BP) through POCUS exams. To do so, convolutional neural networks were designed to perform in classification tasks. The architectures chosen to build these models were the VGG16, ResNet50, DenseNet169 e MobileNetV2. Patients images were divided in three classes: healthy (HE), BP and VP (which includes COVID-19). Through a comparative study, which was based on several performance metrics, the model based on the DenseNet169 architecture was designated as the best performing model, achieving 78% average accuracy value of the five iterations of 5- Fold Cross-Validation. Given that the currently available POCUS datasets for COVID-19 are still limited, the training of the models was negatively affected by such and the models were not tested in an independent dataset. Furthermore, it was also not possible to perform lesion detection tasks. Nonetheless, in order to provide explainability and understanding of the models, Gradient-weighted Class Activation Mapping (GradCAM) were used as a tool to highlight the most relevant classification regions. Clinical relevance – Reveals the potential of POCUS to support COVID-19 screening. The results are very promising although the dataset is limite</t>
  </si>
  <si>
    <t>T. Meena; K. Sarawadekar</t>
  </si>
  <si>
    <t>635-644</t>
  </si>
  <si>
    <t>Sensors_x000D_
Feature extraction_x000D_
Human activity recognition_x000D_
Convolutional neural networks_x000D_
Computer architecture_x000D_
Biomedical monitoring_x000D_
Computational modeling_x000D_
1-D gradient-weighted class activation mapping (GradCAM)_x000D_
explainability_x000D_
human activity recognition (HAR)_x000D_
long short-term memory (LSTM)_x000D_
self-attention_x000D_
smartphones</t>
  </si>
  <si>
    <t>10.1109/JSEN.2023.3335449</t>
  </si>
  <si>
    <t>An eXplainable Self-Attention-Based Spatial–Temporal Analysis for Human Activity Recognition</t>
  </si>
  <si>
    <t>Human activity recognition (HAR) from inertial sensors has been a hot topic of research in recent years. Recognition of human activities from smartphone sensors poses a significant challenge because of the complexity of sensor data. In this work, a novel self-attention convolutional neural network-long short-term memory (CNN-LSTM) module is proposed by using the sensor data from inbuilt inertial sensors in smartphones. The experiment includes the results on the well-known HAR public datasets, namely, University of California HAR Dataset (UCI-HAR), University of California Human Activities and Postural Transitions (UCI-HAPT), and Sanitation datasets. The performance evaluation of the proposed model confirmed its effectiveness, as it achieved high accuracy rates across all tested datasets. Furthermore, ablation studies performed on the depth and number of hyperparameters used in the model demonstrate its effectiveness in achieving higher classification accuracy. The model was also evaluated using other metrics and was found to be cost effective in terms of the number of floating-point operations per second (FLOPs). In addition, a 1-D gradient-weighted class activation mapping (GradCAM) was implemented on the self-attention layer of the proposed model to determine and visualize the features responsible for the predicted activities. Our proposed model demonstrated superior performance on each individual dataset and achieved the best results on the UCI-HAR dataset. Specifically, for the UCI-HAR dataset, our model achieved an accuracy score of 0.9829, precision of 0.9833, recall of 0.9840, and ${F}1$ score of 0.9836 on the test data. Furthermore, the Matthews correlation coefficient (MCC) and Kappa score were calculated as 0.9795 and 0.9794, respectively.</t>
  </si>
  <si>
    <t>Deep learning_x000D_
Computed tomography_x000D_
Computational modeling_x000D_
Neural networks_x000D_
Sensitivity and specificity_x000D_
Data models_x000D_
Task analysis_x000D_
Kidney_x000D_
Diseases_x000D_
Tumors_x000D_
Kidney Tumor_x000D_
Computed Tomography (CT)_x000D_
VGG16_x000D_
Segmentation_x000D_
Classification_x000D_
Deep Neural Network (DNN)</t>
  </si>
  <si>
    <t>D. Misra; T. Nalamada; A. U. Arasanipalai; Q. Hou</t>
  </si>
  <si>
    <t>2021 IEEE Winter Conference on Applications of Computer Vision (WACV)</t>
  </si>
  <si>
    <t>3138-3147</t>
  </si>
  <si>
    <t>Convolutional codes_x000D_
Computer vision_x000D_
Tensors_x000D_
Three-dimensional displays_x000D_
Conferences_x000D_
Object detection_x000D_
Computer architecture</t>
  </si>
  <si>
    <t>10.1109/WACV48630.2021.00318</t>
  </si>
  <si>
    <t>Rotate to Attend: Convolutional Triplet Attention Module</t>
  </si>
  <si>
    <t>Benefiting from the capability of building interdependencies among channels or spatial locations, attention mechanisms have been extensively studied and broadly used in a variety of computer vision tasks recently. In this paper, we investigate light-weight but effective attention mechanisms and present triplet attention, a novel method for computing attention weights by capturing crossdimension interaction using a three-branch structure. For an input tensor, triplet attention builds inter-dimensional dependencies by the rotation operation followed by residual transformations and encodes inter-channel and spatial information with negligible computational overhead. Our method is simple as well as efficient and can be easily plugged into classic backbone networks as an add-on module. We demonstrate the effectiveness of our method on various challenging tasks including image classification on ImageNet-1k and object detection on MSCOCO and PASCAL VOC datasets. Furthermore, we provide extensive insight into the performance of triplet attention by visually inspecting the GradCAM and GradCAM++ results. The empirical evaluation of our method supports our intuition on the importance of capturing dependencies across dimensions when computing attention weights. Code for this paper can be publicly accessed at https://github.com/LandskapeAI/triplet-attention.</t>
  </si>
  <si>
    <t>COVID-19_x000D_
Deep learning_x000D_
Shape_x000D_
Convolution_x000D_
Wireless networks_x000D_
Feature extraction_x000D_
Data mining_x000D_
COVID-19 detection_x000D_
CXR images_x000D_
XDL_x000D_
texture-shape_x000D_
guided filter fusion_x000D_
FEM_x000D_
GradCam</t>
  </si>
  <si>
    <t>In this paper, we propose a novel method of explainable deep learning for COVID-19 detection in Chest X-ray (CXR) images, employing a Texture-Shape approach. The method extracts texture information from the first convolution layer and shape features from the last convolution layer of Deep Neural Networks, namely CNN, VGG16, and ResNet50. To generate the final explainable map, the extracted texture and shape heatmaps are fused using a guided filter-based method. Our approach is versatile and can be adapted to work with classical explainability methods commonly used in the literature. We validate the efficacy of our method on a well-known COVID-19 database comprising CXR images. We conduct extensive experiments to assess its performance against classical explainability methods such as FEM (Feature Extraction Map) and GradCam (Gradientweighted Class Activation Mapping). For evaluation, we calculate metrics such as the average drop and increase in confidence scores. The obtained results demonstrate that fusing texture and shape information leads to significantly improved explainability compared to conventional methods.</t>
  </si>
  <si>
    <t>L. Moradi; B. Kalantar; E. H. Zaryabi; A. A. Halin; N. Ueda</t>
  </si>
  <si>
    <t>Computer science_x000D_
Sensitivity_x000D_
Deconvolution_x000D_
Computational modeling_x000D_
Information retrieval_x000D_
Data engineering_x000D_
Data models_x000D_
XAI method_x000D_
primary attribution_x000D_
layer attribution_x000D_
GradCAM_x000D_
IntegratedGradients_x000D_
explainability</t>
  </si>
  <si>
    <t>10.1109/CSDE56538.2022.10089337</t>
  </si>
  <si>
    <t>On the use of XAI for CNN Model Interpretation: A Remote Sensing Case Study</t>
  </si>
  <si>
    <t>In this paper, we investigate the use of Explainable Artificial Intelligence (XAI) methods for the interpretation of two Convolutional Neural Network (CNN) classifiers in the field of remote sensing (RS). Specifically, the SegNet and Unet architectures for RS building information extraction and segmentation are evaluated using a comprehensive array of primary- and layer-attributions XAI methods. The attribution methods are quantitatively evaluated using the sensitivity metric. Based on the visualization of the different XAI methods, Deconvolution and GradCAM results in many of the study areas show reliability. Moreover, these methods are able to accurately interpret both Unet's and SegNet's decisions and managed to analyze and reveal the internal mechanisms in both models (confirmed by the low sensitivity scores). Overall, no single method stood out as the best one.</t>
  </si>
  <si>
    <t>A. Mustari; R. Ahmed; A. Tasnim; J. S. Juthi; G. M. Shahariar</t>
  </si>
  <si>
    <t>Visualization_x000D_
Costs_x000D_
Sensitivity_x000D_
System performance_x000D_
Self-supervised learning_x000D_
Cervical cancer_x000D_
Testing_x000D_
Cost-Sensitive Learning_x000D_
Contrastive Learning_x000D_
SIPaKMeD_x000D_
XAI_x000D_
LIME_x000D_
GradCAM</t>
  </si>
  <si>
    <t>10.1109/ICCIT60459.2023.10441352</t>
  </si>
  <si>
    <t>Explainable Contrastive and Cost-Sensitive Learning for Cervical Cancer Classification</t>
  </si>
  <si>
    <t>This paper proposes an efficient system for classifying cervical cancer cells using pre-trained convolutional neural networks (CNNs). We first fine-tune five pre-trained CNNs and minimize the overall cost of mis-classification by prioritizing accuracy for certain classes that have higher associated costs or importance. To further enhance the performance of the models, supervised contrastive learning is included to make the models more adept at capturing important features and patterns. Extensive experimentation are conducted to evaluate the proposed system on the SIPaKMeD dataset. The experimental results demonstrate the effectiveness of the developed system, achieving an accuracy of 97.29%. To make our system more trustworthy, we have employed several explainable AI techniques to interpret how the models reached a specific decision. The implementation of the system can be found at - https://github.com/isha-67/CervicalCancerStudy.</t>
  </si>
  <si>
    <t>Y. Nagamura; K. Arima; M. Arai; S. Fukumoto</t>
  </si>
  <si>
    <t>IEEE Transactions on Semiconductor Manufacturing</t>
  </si>
  <si>
    <t>153-160</t>
  </si>
  <si>
    <t>Layout_x000D_
Feature extraction_x000D_
Large scale integration_x000D_
Image resolution_x000D_
Analytical models_x000D_
Training_x000D_
Image classification_x000D_
CNN_x000D_
design for manufacturing_x000D_
failure analysis_x000D_
machine learning_x000D_
neural networks</t>
  </si>
  <si>
    <t>10.1109/TSM.2021.3056717</t>
  </si>
  <si>
    <t>Layout Feature Extraction Using CNN Classification in Root Cause Analysis of LSI Defects</t>
  </si>
  <si>
    <t>Root cause analysis (RCA) of failures is mandatory to obtain the reliability and productivity of LSIs. Although analyzing layout-induced defects is crucial to optimize design rules and to predict unknown defects, it is a challenging task due to the difficulty in explaining the relationship between defects and circuit layouts. We applied convolutional neural networks (CNNs) to classify LSI layout images to perform the RCA of layout-induced defects in a previous study. However, due to the low resolution of images, actual defect positions were not clearly distinguished. In the present study, we use image clips of different sizes and resolutions for the CNN classification. Experimental results indicate that the validity of the extracted layout features depends on the resolution of image clips. Using the visual explanation technique GradCAM++, the features of defective layouts can be accurately captured in local areas when CNN models are trained on smaller image clips with higher resolution. These layout features included a group of patterns with their surroundings. Conversely, utilizing smaller-size clips deteriorates the classification accuracy due to the incorporation of less information from the images. In the conducted experiments, even in the case of using smaller clips, acceptable performance (the detection rate of defect positions DTR ≅ 90%, and the risk-image classification rate RCR ≅ 10%) can be obtained by increasing the size of training datasets. Partial layouts extracted as features of defective layouts can then be used in RCA and in designing future products.</t>
  </si>
  <si>
    <t>201-206</t>
  </si>
  <si>
    <t>COVID-19_x000D_
Deep learning_x000D_
Heating systems_x000D_
Pandemics_x000D_
Pulmonary diseases_x000D_
Neural networks_x000D_
Feature extraction_x000D_
DenseNet169_x000D_
MobileNet_x000D_
Light-GBM_x000D_
Univariate Feature Selection_x000D_
GradCAM</t>
  </si>
  <si>
    <t>The COVID-19 disease was first discovered in Wuhan, China, and spread quickly worldwide. After the COVID-19 pandemic, many researchers have begun to identify a way to diagnose the COVID-19 using chest X-ray images. The early diagnosis of this disease can significantly impact the treatment process. In this article, we propose a new technique that is faster and more accurate than the other methods reported in the literature. The proposed method uses a combination of DenseNet169 and MobileNet Deep Neural Networks to extract the features of the patient's X-ray images. Using the univariate feature selection algorithm, we refined the features for the most important ones. Then we applied the selected features as input to the LightGBM (Light Gradient Boosting Machine) algorithm for classification. To assess the effectiveness of the proposed method, the ChestX-ray8 dataset, which includes 1125 X-ray images of the patient's chest, was used. The proposed method achieved 98.54% and 91.11% accuracies in the two-class (COVID-19, Healthy) and multi-class (COVID-19, Healthy, Pneumonia) classification problems, respectively. It is worth mentioning that we have used Gradient-weighted Class Activation Mapping (Grad-CAM) for future analysis.</t>
  </si>
  <si>
    <t>P. C. Neto; A. F. Sequeira; J. S. Cardoso</t>
  </si>
  <si>
    <t>2022 IEEE/CVF Winter Conference on Applications of Computer Vision Workshops (WACVW)</t>
  </si>
  <si>
    <t>390-399</t>
  </si>
  <si>
    <t>Training_x000D_
Analytical models_x000D_
Error analysis_x000D_
Crops_x000D_
Predictive models_x000D_
Visual systems_x000D_
Inspection</t>
  </si>
  <si>
    <t>10.1109/WACVW54805.2022.00045</t>
  </si>
  <si>
    <t>Myope Models - Are face presentation attack detection models short-sighted?</t>
  </si>
  <si>
    <t>Presentation attacks are recurrent threats to biometric systems, where impostors attempt to bypass these systems. Humans often use background information as contextual cues for their visual system. Yet, regarding face-based systems, the background is often discarded, since face presentation attack detection (PAD) models are mostly trained with face crops. This work presents a comparative study of face PAD models (including multi-task learning, adversarial training and dynamic frame selection) in two settings: with and without crops. The results show that the performance is consistently better when the background is present in the images. The proposed multi-task methodology beats the state-of-the-art results on the ROSE-Youtu dataset by a large margin with an equal error rate of 0.2%. Furthermore, we analyze the models’ predictions with GradCAM++ with the aim to investigate to what extent the models focus on background elements that are known to be useful for human inspection. From this analysis we can conclude that the background cues are not relevant across all the attacks. Thus, showing the capability of the model to leverage the background information only when necessary.</t>
  </si>
  <si>
    <t>M. I. Patel; S. Singla; R. A. A. Mattathodi; S. Sharma; D. Gautam; S. R. Kundeti</t>
  </si>
  <si>
    <t>2021 IEEE International Conference on Cloud Computing in Emerging Markets (CCEM)</t>
  </si>
  <si>
    <t>Location awareness_x000D_
Visualization_x000D_
Three-dimensional displays_x000D_
Magnetic resonance imaging_x000D_
Computational modeling_x000D_
Brain modeling_x000D_
Data models_x000D_
HighRes3DNet_x000D_
Data Augmentation_x000D_
Landmark Detection_x000D_
Medical Image Analysis_x000D_
Deep Learning_x000D_
GradCAM</t>
  </si>
  <si>
    <t>In the medical field, landmark detection in MRI plays an important role in reducing medical technician efforts in tasks like scan planning, image registration, etc. First, 88 landmarks spread across the brain anatomy in the three respective views- sagittal, coronal, and axial are manually annotated, later guidelines from the expert clinical technicians are taken subanatomy-wise, for better localization of the existing landmarks, in order to identify and locate the important atlas landmarks even in oblique scans. To overcome limited data availability, we implement realistic data augmentation to generate synthetic 3D volumetric data. We use a modified HighRes3DNet model for solving brain MRI volumetric landmark detection problem. In order to visually explain our trained model on unseen data, and discern a stronger model from a weaker model, we implement Gradient-weighted Class Activation Mapping (GradCAM) which produces a coarse localization map highlighting the regions the model is focusing. Our experiments show that the proposed method shows favorable results, and the overall pipeline can be extended to a variable number of landmarks and other anatomies.</t>
  </si>
  <si>
    <t>101-105</t>
  </si>
  <si>
    <t>Deep learning_x000D_
Strips_x000D_
Analytical models_x000D_
Sensitivity_x000D_
Electrocardiography_x000D_
Sensitivity and specificity_x000D_
Predictive models_x000D_
Electrocardiogram_x000D_
Arrhythmia_x000D_
Grad-CAM_x000D_
Computer Vision</t>
  </si>
  <si>
    <t>Electrocardiogram (ECG) serves a key role in understanding human health conditions and necessitates targeted treatments. Attempts to automate ECG interpretations using different algorithmic paradigms have existed for decades. However, a robust system or an approach that can automate the detection of a wide range of arrhythmia categories from ECGs captured or acquired from a multitude of sources remains a challenge, given the signal quality and extend of associated artifacts vary. The approach described in this paper takes the application of Deep Learning (DL) in arrhythmia detection to a new dimension, in which it uses class-discriminative visualization to improve interpretability and transparency as an additional step to validate the algorithm. A Convolutional Neural Network (CNN) of 20 rhythm categories was developed using 193,492 single-lead ten-second ECG strips. External validation was done against a test set of 5606 strips collected using Holter device (n=4447), patch (n=311), diagnostic ECG machine (n=806), and smartwatch (n=42), covering a wide variety of devices available in the current market. For IoU (Intersection over Union) score, GradCAM (Gradient-weighted Class Activation Mapping) analysis representing the region weighted by the model for inference was performed on 266 strips against Certified Cardiographic Technician annotations. The model with a weighted average F1 score of 0.94 across 20 rhythm categories had high sensitivity and specificity for critical arrhythmias like Atrial Fibrillation (0.997, 0.955) and Ventricular Tachycardia (0.999, 0.915). Besides, the mean IoU score calculated was 0.56, meaning the region of arrhythmia had a great impact on the predictions made by the model.</t>
  </si>
  <si>
    <t>Deep learning_x000D_
Explainable AI_x000D_
Decision making_x000D_
Data models_x000D_
Osteoarthritis_x000D_
Heat maps_x000D_
Residual neural networks_x000D_
Explainable AI (XAI)_x000D_
Artificial Intelligence(AI)_x000D_
Learning Process_x000D_
Explainable model_x000D_
Diagnostic decision</t>
  </si>
  <si>
    <t>Osteoarthritis (OA) is an existing degenerative joint disease with a potential societal impact, requiring accurate and early diagnosis for effective treatment. In this work, we have deployed deep learning techniques, specifically ResNet50 and VGG16, to predict osteoarthritis from medical imaging data. Remarkably, our models produced an impressive accuracies of 91.0% and 89.5% respectively, showing the efficacy of CNN in OA classification. To further better the interpretability in the predictions of our model ,we used GradCam++ visualization, a technique that enabled us in generating heat maps that highlights the regions crucial for model decision-making. Optimizing GradCam++, we noticed an improvement in accuracy to 93.0%, reinforcing its value in refining model interpretability. The generated heat maps are used not only in understanding the model validation but also in providing clinicians with useful information regarding the areas of concern within the medical images. Our outcomes shows the ability of combining deep learning techniques with visualization tools like GradCam++ to enhance predictive accuracy and to offer trustable and interpretable results. The areas of concern in the heat maps throw light on the specific features influencing the model's decision. This combined method promises for advancing the field of medical image analysis, fostering more accurate and clinically applicable diagnostic tools for osteoarthritis and potentially other medical conditions.</t>
  </si>
  <si>
    <t>N. Rahman; S. K. Das</t>
  </si>
  <si>
    <t>2022 4th International Conference on Sustainable Technologies for Industry 4.0 (STI)</t>
  </si>
  <si>
    <t>Waste management_x000D_
Waste materials_x000D_
Biological system modeling_x000D_
Social factors_x000D_
Predictive models_x000D_
Real-time systems_x000D_
Recycling_x000D_
Climate change_x000D_
CNN_x000D_
X-AI_x000D_
EfficientNet_x000D_
Image Hashing_x000D_
Augmentation_x000D_
GradCAM_x000D_
Focal Loss_x000D_
Cross Entropy_x000D_
Albumentation</t>
  </si>
  <si>
    <t>10.1109/STI56238.2022.10103297</t>
  </si>
  <si>
    <t>A Fusion of Three Custom-Tailored Deep Learning Architectures for Waste Classification</t>
  </si>
  <si>
    <t>Population growth is exploding exponentially in this current world. Due to this escalating population and urbanization, the overall amount of waste is experiencing a rapid growth worldwide. Consequently, plenty of waste contributes to climate change, affecting our ecosystems and species. Fortunately, trash management would help alleviate some of these effects since a large quantity of trash is highly biodegradable and recyclable. However, classifying waste manually based on its contents is highly expensive and time-consuming. This is why the classification of wastes based on their contents is a critical criterion for ensuring cost-effective performance throughout recycling procedures. This paper proposes a hybrid deep-learning framework to classify waste into four categories: paper, glass, plastic, and organic. To address the lack of sufficient data, we used the albumentation function to augment the data. Later, in order to remove any duplicates that might have existed in the updated dataset, we also applied an image hashing technique that tackles the problem of overfitting. After preprocessing, we integrate three different models (2 EfficientNet models with noisy-student and imagenet and a custom convolutional neural network model) and provide prediction, and a heatmap of the eXplainable Artificial Intelligence (X-AI) generated images based on the test dataset to improve the trustworthiness of the inference. In comparison to various earlier state-of-the-art studies in the area of waste management, our technique performed substantially better, scoring at around 97% accuracy.</t>
  </si>
  <si>
    <t>Computational modeling_x000D_
Magnetic resonance imaging_x000D_
Benchmark testing_x000D_
Brain modeling_x000D_
Data models_x000D_
Artificial intelligence_x000D_
Alzheimer's disease_x000D_
Federated Learning_x000D_
FedAvg_x000D_
Self Supervised Models_x000D_
DINOv2_x000D_
GradCAM_x000D_
BrainCrossFed_x000D_
Alzheimer_x000D_
MRI</t>
  </si>
  <si>
    <t>Alzheimer is one of the key mental illnesses suffered by 55 million people worldwide and 10 million new patients are added every year. If Alzheimer’s is detected in early stage, then the impact of disease will be reduced. Artificial intelligence (AI) models are helping in early diagnosis using MRI images. For better AI model development, the model needs to be trained over a huge dataset. But Health data privacy is another key concern of data collection, and hence federated learning framework helps models get trained over data without data transferring to cloud platform. Other Key concerns of AI model development is the availability of labeled data and benchmarking the model performance developed on dataset, which is trimmed or is a modified version. As availability of research work on specific data is rare. Currently, researchers have to develop other research models for specific data and such approaches take more time. Also, doctors expect explainability of the model, instead of black box model. Proposed BrainCrossFed model addresses data privacy concerns by avoiding the need for data transfer to cloud and leverage available labeled data at different federated nodes along with a dataset for Alzheimer to compute cross fed average of model weights. Due to the proposed Cross Fed Avg algorithm performance of the proposed deep learning model accuracy is increased from 99.11% to 99.77% close to 100%. Also such cross fed average enables the model to find global minima. Final performance achieved by the proposed model is 99.77%, with 100%. The performance of the model is benchmarked with current well known classification models, State-of-the-Art (SOTA), self supervised models like DINOv2 [1], for the same datasets. DINOv2 model has achieved 98%. Other generic well known models like ResNet101, DenseNet121, and Visual Geometry Group16 (VGG16) and customer models [2] have achieved max performance 97.60%. The GradCAM developed to explain the classification result.</t>
  </si>
  <si>
    <t>Data privacy_x000D_
Federated learning_x000D_
Sociology_x000D_
Medical services_x000D_
Osteoarthritis_x000D_
Statistics_x000D_
X-ray imaging_x000D_
MobileNet_x000D_
Resnet_x000D_
DenseNet_x000D_
Knee Osteoarthritis_x000D_
Medical Images_x000D_
XAI_x000D_
Grad-CAM</t>
  </si>
  <si>
    <t>Knee Osteoarthritis (KOA) poses a significant global health challenge, impacting a substantial population. The conventional detection process involves multiple tests and meticulous examination by experienced physicians, which is time-consuming and susceptible to misclassification due to subtle variations in X-ray images. Additionally, privacy concerns hinder the sharing of sensitive data like X-rays. This study employs Federated Learning with pre-trained architectures (DenseNet-169, Inception-v2, and MobileNet-v2) to classify three KOA severity grades, utilizing two clients to ensure data privacy. The aim is to develop a generalized model for disease classification, improving efficiency while ensuring the confidentiality of patient information. DenseNet-169 excelled with an F1 score of 81% and an accuracy of 82%, while Inception-v2 and MobileNet-v2 performed well with slight F1 score variations. Moreover, the exploration of GradCAM visualization techniques is conducted to improve interpretability, highlighting the capability of this approach to effectively tackle the intricate challenges linked to Knee Osteoarthritis detection.</t>
  </si>
  <si>
    <t>V. Sampaio; F. R. Cordeiro</t>
  </si>
  <si>
    <t>2023 36th SIBGRAPI Conference on Graphics, Patterns and Images (SIBGRAPI)</t>
  </si>
  <si>
    <t>139-144</t>
  </si>
  <si>
    <t>Training_x000D_
Graphics_x000D_
Annotations_x000D_
Supervised learning_x000D_
Predictive models_x000D_
Robustness_x000D_
Lesions</t>
  </si>
  <si>
    <t>10.1109/SIBGRAPI59091.2023.10347182</t>
  </si>
  <si>
    <t>Improving Mass Detection in Mammography Images: A Study of Weakly Supervised Learning and Class Activation Map Methods</t>
  </si>
  <si>
    <t>In recent years, weakly supervised models have aided in mass detection using mammography images, decreasing the need for pixel-level annotations. However, most existing models in the literature rely on Class Activation Maps (CAM) as the activation method, overlooking the potential benefits of exploring other activation techniques. This work presents a study that explores and compares different activation maps in conjunction with state-of-the-art methods for weakly supervised training in mammography images. Specifically, we investigate CAM, GradCAM, GradCAM++, XGradCAM, and LayerCAM methods within the framework of the GMIC model for mass detection in mammography images. The evaluation is conducted on the VinDr-Mammo dataset, utilizing the metrics Accuracy, True Positive Rate (TPR), False Negative Rate (FNR), and False Positive Per Image (FPPI). Results show that using different strategies of activation maps during training and test stages leads to an improvement of the model. With this strategy, we improve the results of the GMIC method, decreasing the FPPI value and increasing TPR.</t>
  </si>
  <si>
    <t>S. Sanagavarapu; S. Sridhar; T. V. Gopal</t>
  </si>
  <si>
    <t>2021 IEEE International IOT, Electronics and Mechatronics Conference (IEMTRONICS)</t>
  </si>
  <si>
    <t>COVID-19_x000D_
Training_x000D_
Histograms_x000D_
Visualization_x000D_
Mechatronics_x000D_
Computed tomography_x000D_
Conferences_x000D_
Imbalanced Data_x000D_
COVID-19 detection_x000D_
Ensemble ResNets_x000D_
Chest CT-scans</t>
  </si>
  <si>
    <t>10.1109/IEMTRONICS52119.2021.9422556</t>
  </si>
  <si>
    <t>COVID-19 Identification in CLAHE Enhanced CT Scans with Class Imbalance using Ensembled ResNets</t>
  </si>
  <si>
    <t>The occurrence of imbalanced datasets in medical imaging has proven to be a challenge for the development of models to analyze and evaluate the underlying condition. In this paper, the bias of the chest CT scan dataset is handled by taking discrete splits and employing ResNets to detect COVID-19 in each split. The scraped images were pre-processed using CLAHE histogram for comparison with low contrast images. Multiple ResNets were extended to form an ensemble neural network model using ANNs which handles the class imbalance. The system has an overall accuracy of 87.23% and the performance is assessed for each class. The image features identified are visualized using the GradCAM algorithm and some of the commonly found clinical features in the CT scan images of the patients suffering from this disease are summarized for better understanding the working of the model.</t>
  </si>
  <si>
    <t>S. Sangchocanonta; S. Ingpochai; S. Puangarom; A. Munthuli; P. Phienphanich; R. Itthipanichpong; S. Chansangpetch; A. Manassakorn; K. Ratanawongphaibul; V. Tantisevi; P. Rojanapongpun; C. Tantibundhit</t>
  </si>
  <si>
    <t>2023 45th Annual International Conference of the IEEE Engineering in Medicine &amp; Biology Society (EMBC)</t>
  </si>
  <si>
    <t>Glaucoma_x000D_
Training_x000D_
Heating systems_x000D_
Sensitivity_x000D_
Head_x000D_
Blindness_x000D_
Sensitivity and specificity</t>
  </si>
  <si>
    <t>10.1109/EMBC40787.2023.10341115</t>
  </si>
  <si>
    <t>Donut: Augmentation Technique for Enhancing The Efficacy of Glaucoma Suspect Screening</t>
  </si>
  <si>
    <t>Glaucoma is the second most common cause of blindness. A glaucoma suspect has risk factors that increase the possibility of developing glaucoma. Evaluating a patient with suspected glaucoma is challenging. The donut method" was developed in this study as an augmentation technique for obtaining high-quality fundus images for training ConvNeXt-Small model. Fundus images from GlauCUTU-DATA, labelled by randomizing at least 3 well-trained ophthalmologists (4 well-trained ophthalmologists in case of no majority agreement) with a unanimous agreement (3/3) and majority agreement (2/3), were used in the experiment. The experimental results from the proposed method showed the training model with the "donut method" increased the sensitivity of glaucoma suspects from 52.94% to 70.59% for the 3/3 data and increased the sensitivity of glaucoma suspects from 37.78% to 42.22% for the 2/3 data. This method enhanced the efficacy of classifying glaucoma suspects in both equalizing sensitivity and specificity sufficiently. Furthermore, three well-trained ophthalmologists agreed that the GradCAM++ heatmaps obtained from the training model using the proposed method highlighted the clinical criteria.Clinical relevance– The donut method for augmentation fundus images focuses on the optic nerve head region for enhancing efficacy of glaucoma suspect screening, and uses Grad-CAM++ to highlight the clinical criteria."</t>
  </si>
  <si>
    <t>2020 10th International Conference on Advanced Computer Information Technologies (ACIT)</t>
  </si>
  <si>
    <t>348-351</t>
  </si>
  <si>
    <t>Training_x000D_
Loss measurement_x000D_
Entropy_x000D_
Dispersion_x000D_
Feature extraction_x000D_
Visualization_x000D_
Standards_x000D_
(Grad) CAM interpretability_x000D_
explainability_x000D_
GradCAM_x000D_
classification network</t>
  </si>
  <si>
    <t>We consider a light-weight method which allows to improve the explainability of localized classification networks. The method considers (Grad)CAM maps during the training process by modification of the training loss and does not require additional structural elements. It is demonstrated that the (Grad)CAM interpretability, as measured by several indicators, can be improved in this way. Since the method shall be applicable on embedded systems and on standard deeper architectures, it essentially takes advantage of second order derivatives during the training and does not require additional model layers.</t>
  </si>
  <si>
    <t>S. Sengupta; J. Loomba; S. Sharma; D. E. Brown; L. Thorpe; M. A. Haendel; C. G. Chute; S. Hong</t>
  </si>
  <si>
    <t>2022 IEEE International Conference on Bioinformatics and Biomedicine (BIBM)</t>
  </si>
  <si>
    <t>2797-2802</t>
  </si>
  <si>
    <t>COVID-19_x000D_
Deep learning_x000D_
Codes_x000D_
Medical conditions_x000D_
Market research_x000D_
National Institutes of Health_x000D_
Electronic medical records_x000D_
EHR_x000D_
GradCAM</t>
  </si>
  <si>
    <t>10.1109/BIBM55620.2022.9994851</t>
  </si>
  <si>
    <t>Analyzing historical diagnosis code data from NIH N3C and RECOVER Programs using deep learning to determine risk factors for Long Covid</t>
  </si>
  <si>
    <t>Post-acute sequelae of SARS-CoV-2 infection (PASC) or Long COVID is an emerging medical condition that has been observed in several patients with a positive diagnosis for COVID-19. Historical Electronic Health Records (EHR) like diagnosis codes, lab results and clinical notes have been analyzed using deep learning and have been used to predict future clinical events. In this paper, we propose an interpretable deep learning approach to analyze historical diagnosis code data from the National COVID Cohort Collective (N3C)1 to find the risk factors contributing to developing Long COVID. Using our deep learning approach, we are able to predict if a patient is suffering from Long COVID from a temporally ordered list of diagnosis codes up to 45 days post the first COVID positive test or diagnosis for each patient, with an accuracy of 70.48%. We are then able to examine the trained model using Gradient-weighted Class Activation Mapping (GradCAM) to give each input diagnoses a score. The highest scored diagnosis were deemed to be the most important for making the correct prediction for a patient. We also propose a way to summarize these top diagnoses for each patient in our cohort and look at their temporal trends to determine which codes contribute towards a positive Long COVID diagnosis.</t>
  </si>
  <si>
    <t>Y. Seo; M. Han; J. Kim</t>
  </si>
  <si>
    <t>2022 IEEE Sensors</t>
  </si>
  <si>
    <t>Deep learning_x000D_
Visualization_x000D_
Frequency modulation_x000D_
Three-dimensional displays_x000D_
Radar_x000D_
Sensor systems_x000D_
Behavioral sciences</t>
  </si>
  <si>
    <t>10.1109/SENSORS52175.2022.9967284</t>
  </si>
  <si>
    <t>A 3D CNN based People Counting System Using Auto-Correlation Functions from Frequency Modulated Continuous Wave Radar Signals</t>
  </si>
  <si>
    <t>We propose a people counting system using Frequency Modulated Continuous Wave (FMCW) radar signals. The proposed method predicts the number of people using deep learning classification with auto-correlation functions of estimated breathing signals. We also attempted to explain the behavior of the deep learning system using modified gradient-weighted class activation mapping (GradCAM). In the experiments using real radar signals, the proposed method showed improved performance from a conventional method.</t>
  </si>
  <si>
    <t>S. Sharma; M. Garg</t>
  </si>
  <si>
    <t>Heating systems_x000D_
Visualization_x000D_
Medical devices_x000D_
Histopathology_x000D_
Biological system modeling_x000D_
Medical services_x000D_
Predictive models_x000D_
Medical Image Processing_x000D_
Visual Interpretability_x000D_
StyleGANN</t>
  </si>
  <si>
    <t>10.1109/INCOFT55651.2022.10094510</t>
  </si>
  <si>
    <t>DL-based Visual Interpretability over Medical Images using StyleGAN</t>
  </si>
  <si>
    <t>Interpretability of the underlying predictive models is essential to increase the usage of AI-based medical devices in clinical settings as they become more prevalent in imaging disciplines like radiology and histology. GradCAM is one existing heatmap-based interpretability method that solely emphasises where the predictive characteristics are located. Do not elaborate on how they affect the prediction. In this work, we suggest a a fresh approach to interpretability that can be utilised to comprehend any by displaying the changes that would be made to the supplied image in a to arrive at various predictions. An expert in medical imagery, StyleGAN to offer a mapping between pictures and latent vectors. Our technique recognizes the best direction to update the model prediction in the latent space. This direction can be changed by moving the latent representation of an input image to create a number of fresh synthetic graphics with modified forecasts. We verify our radiological pictures, and show its capacity to provide a strategy on histology and GradCAM heatmaps are not as informative as meaningful explanations. Our technique displays the patterns that the model has discovered, enabling physicians to develop rely on the model’s forecasts, find new biomarkers, and ultimately reveal possible biases.</t>
  </si>
  <si>
    <t>Y. Sharma; N. Coronato; D. E. Brown</t>
  </si>
  <si>
    <t>1611-1614</t>
  </si>
  <si>
    <t>Wearable computers_x000D_
Time series analysis_x000D_
Lung_x000D_
Predictive models_x000D_
Muscles_x000D_
Markov processes_x000D_
Market research</t>
  </si>
  <si>
    <t>10.1109/EMBC48229.2022.9871878</t>
  </si>
  <si>
    <t>Encoding Cardiopulmonary Exercise Testing Time Series as Images for Classification using Convolutional Neural Network</t>
  </si>
  <si>
    <t>Exercise testing has been available for more than a half-century and is a remarkably versatile tool for diagnostic and prognostic information of patients for a range of diseases, especially cardiovascular and pulmonary. With rapid advancements in technology, wearables, and learning algorithm in the last decade, its scope has evolved. Specifically, Cardiopulmonary exercise testing (CPX) is one of the most commonly used laboratory tests for objective evaluation of exercise capacity and performance levels in patients. CPX provides a non-invasive, integrative assessment of the pulmonary, cardiovascular, and skeletal muscle systems involving the measurement of gas exchanges. However, its assessment is challenging, requiring the individual to process multiple time series data points, leading to simplification to peak values and slopes. But this simplification can discard the valuable trend information present in these time series. In this work, we encode the time series as images using the Gramian Angular Field and Markov Transition Field and use it with a convolutional neural network and attention pooling approach for the classification of heart failure and metabolic syndrome patients. Using GradCAMs, we highlight the discriminative features identified by the model. Clinical relevance— The proposed framework can process multivariate exercise testing time-series data and accurately predict cardiovascular diseases. Interpretable Grad-CAMs can be obtained to explain the prediction.</t>
  </si>
  <si>
    <t>Y. Shu; A. V. d. Hengel; L. Liu</t>
  </si>
  <si>
    <t>11392-11401</t>
  </si>
  <si>
    <t>Representation learning_x000D_
Visualization_x000D_
Computer vision_x000D_
Source coding_x000D_
Aggregates_x000D_
Fitting_x000D_
Detectors_x000D_
Self-supervised or unsupervised representation learning</t>
  </si>
  <si>
    <t>10.1109/CVPR52729.2023.01096</t>
  </si>
  <si>
    <t>Learning Common Rationale to Improve Self-Supervised Representation for Fine-Grained Visual Recognition Problems</t>
  </si>
  <si>
    <t>Self-supervised learning (SSL) strategies have demonstrated remarkable performance in various recognition tasks. However, both our preliminary investigation and recent studies suggest that they may be less effective in learning representations for fine-grained visual recognition (FGVR) since many features helpful for optimizing SSL objectives are not suitable for characterizing the subtle differences in FGVR. To overcome this issue, we propose learning an additional screening mechanism to identify discriminative clues commonly seen across instances and classes, dubbed as common rationales in this paper. Intuitively, common rationales tend to correspond to the discriminative patterns from the key parts of foreground objects. We show that a common rationale detector can be learned by simply exploiting the GradCAM induced from the SSL objective without using any pre-trained object parts or saliency detectors, making it seamlessly to be integrated with the existing SSL process. Specifically, we fit the GradCAM with a branch with limited fitting capacity, which allows the branch to capture the common rationales and discard the less common discriminative patterns. At the test stage, the branch generates a set of spatial weights to selectively aggregate features representing an instance. Extensive experimental results on four visual tasks demonstrate that the proposed method can lead to a significant improvement in different evaluation settings.11The source code will be publicly available at:https://github.com/GANPerf/LCR</t>
  </si>
  <si>
    <t>Measurement_x000D_
Deep learning_x000D_
Medical devices_x000D_
Time series analysis_x000D_
Decision making_x000D_
Electrocardiography_x000D_
Stability analysis_x000D_
trust_x000D_
explainable AI_x000D_
XAI_x000D_
quantification_x000D_
time series_x000D_
ECG</t>
  </si>
  <si>
    <t>Electrocardiography_x000D_
Computational modeling_x000D_
Feature extraction_x000D_
Deep learning_x000D_
Neural networks_x000D_
Data models_x000D_
Predictive models_x000D_
Arrhythmia_x000D_
convolutional neural network (CNN)_x000D_
electrocardiogram (ECG)_x000D_
explainable artificial intelligence (XAI)_x000D_
local interpretable model-agnostic explanations (LIME)_x000D_
SHapley Additive exPlanations (SHAP)</t>
  </si>
  <si>
    <t>K. S. Srikanth; T. K. Ramesh; S. Palaniswamy; R. Srinivasan</t>
  </si>
  <si>
    <t>2022 IEEE International Conference on Electronics, Computing and Communication Technologies (CONECCT)</t>
  </si>
  <si>
    <t>Training_x000D_
Decision support systems_x000D_
Face recognition_x000D_
Computational modeling_x000D_
Communications technology_x000D_
Facial features_x000D_
XAI_x000D_
CNN_x000D_
Deep Learning_x000D_
Artificial intelligence</t>
  </si>
  <si>
    <t>10.1109/CONECCT55679.2022.9865816</t>
  </si>
  <si>
    <t>XAI based model evaluation by applying domain knowledge</t>
  </si>
  <si>
    <t>Artificial intelligence(AI) is used in decision support systems which learn and perceive features as a function of the number of layers and the weights computed during training. Due to their inherent black box nature, it is insufficient to consider accuracy, precision and recall as metrices for evaluating a model's performance. Domain knowledge is also essential to identify features that are significant by the model to arrive at its decision. In this paper, we consider a use case of face mask recognition to explain the application and benefits of XAI. Eight models used to solve the face mask recognition problem were selected. GradCAM Explainable AI (XAI) is used to explain the state-of-art models. Models that were selecting incorrect features were eliminated even though, they had a high accuracy. Domain knowledge relevant to face mask recognition viz., facial feature importance is applied to identify the model that picked the most appropriate features to arrive at the decision. We demonstrate that models with high accuracies need not be necessarily select the right features. In applications requiring rapid deployment, this method can act as a deciding factor in shortlisting models with a guarantee that the models are looking at the right features for arriving at the classification. Furthermore, the outcomes of the model can be explained to the user enhancing their confidence on the AI model being deployed in the field.</t>
  </si>
  <si>
    <t>Q. Su; X. Zhang; P. Xiao; Z. Li; W. Wang</t>
  </si>
  <si>
    <t>IEEE Journal of Selected Topics in Applied Earth Observations and Remote Sensing</t>
  </si>
  <si>
    <t>5623-5635</t>
  </si>
  <si>
    <t>Feature extraction_x000D_
Remote sensing_x000D_
Convolutional neural networks_x000D_
Task analysis_x000D_
Heating systems_x000D_
Data mining_x000D_
Training_x000D_
Class activation mapping (CAM)_x000D_
convolutional neural network (CNN)_x000D_
deep learning_x000D_
geographic objects_x000D_
weakly-supervised semantic segmentation</t>
  </si>
  <si>
    <t>10.1109/JSTARS.2022.3188493</t>
  </si>
  <si>
    <t>Which CAM is Better for Extracting Geographic Objects? A Perspective From Principles and Experiments</t>
  </si>
  <si>
    <t>As a method of deep learning interpretability, class activation mapping (CAM) is efficient and convenient for extracting geographic objects supervised by image-level labels. However, in addition to the inherent problem of inaccuracy and incompleteness of CAM, we have to deal with the spectral and spatial variance of geographic objects when applying CAM methods to remote sensing images. To explore the capabilities of CAM methods on extracting various geographic objects, we make a comprehensive comparison of five commonly-used CAM methods, including original CAM, GradCAM, GradCAM++, SmoothGradCAM++, and ScoreCAM, in four aspects: efficiency; accuracy; effectiveness on dealing with the spectral and spatial variance; and performance of delineating different geographic object categories. The results demonstrate that the original CAM, GradCAM, and GradCAM++ achieves the highest efficiency, accuracy, and integrity for extracting geographic objects, respectively, which can help us choose the appropriate CAM methods according to the specific requirements of different extraction tasks. Benefiting from the capability in extracting various geographic objects and adaptability in complex scenes, GradCAM achieves the best performance in dealing with the spectral and spatial variance problem and shows the advantage of capturing object details and keeping object completeness at the same time. In addition to the comparison experiments and suggestions, we also provide the principle explanations of the performance differences. The findings of this article could contribute to a deep understanding of different CAM methods and benefit to selecting suitable CAM methods for extracting geographic objects from the perspectives of both principles and experiments.</t>
  </si>
  <si>
    <t>A. V. Subramanyam; A. Raj</t>
  </si>
  <si>
    <t>2276-2280</t>
  </si>
  <si>
    <t>Training_x000D_
Codes_x000D_
Image processing_x000D_
Extraterrestrial measurements_x000D_
Robustness_x000D_
Barycenter_x000D_
Dual Wasserstein_x000D_
Adversarial defense</t>
  </si>
  <si>
    <t>10.1109/ICIP46576.2022.9897732</t>
  </si>
  <si>
    <t>Barycentric Defense</t>
  </si>
  <si>
    <t>Wasserstein metric based adversarial attacks have attracted a great interest in the recent past. Even though they exhibit strong attacks, surprisingly, they have not been investigated for defense. In this work, we demonstrate that barycenters computed in Wasserstein space can act as a measure of defense against adversarial attacks. We compute the barycenter using marginals obtained from the given image and demonstrate its effectiveness in defense even without any adversarial training. We further analyse the barycenters using GradCam to understand their defensive characteristics. Elaborate experiments on MNIST, Fashion-MNIST, CIFAR-10 and CIFAR-100 demonstrate a significant increase in the robustness of victim classifiers. Our code is available at https://github.com/Visual-Conception-Group/Barycentric-Defense.</t>
  </si>
  <si>
    <t>W. Tan; J. Renkhoff; A. Velasquez; Z. Wang; L. Li; J. Wang; S. Niu; F. Yang; Y. Liu; H. Song</t>
  </si>
  <si>
    <t>2023 IEEE International Conference on Fuzzy Systems (FUZZ)</t>
  </si>
  <si>
    <t>Deep learning_x000D_
Perturbation methods_x000D_
Gaussian noise_x000D_
Artificial neural networks_x000D_
Behavioral sciences_x000D_
Artificial intelligence_x000D_
Fuzzy systems</t>
  </si>
  <si>
    <t>10.1109/FUZZ52849.2023.10309766</t>
  </si>
  <si>
    <t>NoiseCAM: Explainable AI for the Boundary Between Noise and Adversarial Attacks</t>
  </si>
  <si>
    <t>Deep Learning (DL) and Deep Neural Networks (DNNs) are widely used in various domains. However, adversarial attacks can easily mislead a neural network and lead to wrong decisions. Defense mechanisms are highly preferred in safety- critical applications. In this paper, firstly, we use the gradient class activation map (GradCAM) to analyze the behavior deviation of the VGG-16 network when its inputs are mixed with adversarial perturbation or Gaussian noise. In particular, our method can locate vulnerable layers that are sensitive to adversarial perturbation and Gaussian noise. We also show that the behavior deviation of vulnerable layers can be used to detect adversarial examples. Secondly, we propose a novel NoiseCAM algorithm that integrates information from globally and pixel- level weighted class activation maps. Our algorithm is highly sensitive to adversarial perturbations and will not respond to Gaussian random noise mixed in the inputs. Third, we compare detecting adversarial examples using both behavior deviation and NoiseCAM, and we show that NoiseCAM outperforms behavior deviation modeling in its overall performance. Our work could provide a useful tool to defend against certain types of adversarial attacks on deep neural networks.</t>
  </si>
  <si>
    <t>S. Tasneem; K. A. Islam</t>
  </si>
  <si>
    <t>2023 IEEE 14th Annual Ubiquitous Computing, Electronics &amp; Mobile Communication Conference (UEMCON)</t>
  </si>
  <si>
    <t>0261-0267</t>
  </si>
  <si>
    <t>Deep learning_x000D_
Measurement_x000D_
Systematics_x000D_
Roads_x000D_
Atmospheric modeling_x000D_
Sensors_x000D_
US Department of Defense_x000D_
Explainable-AI_x000D_
Machine Learning_x000D_
Trustable Deep Learning_x000D_
Remote Sensing</t>
  </si>
  <si>
    <t>10.1109/UEMCON59035.2023.10316012</t>
  </si>
  <si>
    <t>Development of Trustable Deep Learning Model in Remote Sensing through Explainable-AI Method Selection</t>
  </si>
  <si>
    <t>Remote sensing-based sensors are considered a pivotal medium to monitor remote objects by security-critical government organizations, e.g., DOD, DHS, and EPA. Historically, human operators used manual mapping in monitoring or detecting an object using remote sensing sensors, e.g., multi-spectral images. Deep learning algorithms can automatically identify and learn multi-spectral, multi-temporal, and multi-modality features of remote sensing datasets while detecting objects. They are also known as black box models because they lack clarity in decision-making. In this paper, we compared two explainable AI models, Grad-CAM and Score-CAM, to interpret the decisions in two multispectral datasets: UC-Merced and EuroSat. These datasets contain classes of land use, such as airplanes and buildings, and objects related to land cover, like forests and rivers. In the empirical analysis, we identified that ScoreCAM performed better than GradCAM based on three evaluation metrics: ROAD, SIC, and infidelity in UC-Merced and EuroSat datasets.</t>
  </si>
  <si>
    <t>Y. X. Teoh; A. Othmani; S. L. Goh; J. Usman; K. W. Lai</t>
  </si>
  <si>
    <t>2023 IEEE International Conference on Bioinformatics and Biomedicine (BIBM)</t>
  </si>
  <si>
    <t>4148-4153</t>
  </si>
  <si>
    <t>Radiography_x000D_
Deep learning_x000D_
Pain_x000D_
Biological system modeling_x000D_
Decision making_x000D_
Receivers_x000D_
Predictive models_x000D_
deep neural networks_x000D_
diagnosis_x000D_
knee osteoarthritis_x000D_
machine learning_x000D_
pain prediction</t>
  </si>
  <si>
    <t>10.1109/BIBM58861.2023.10385415</t>
  </si>
  <si>
    <t>Predicting Knee Osteoarthritis Pain Severity through A Deep Hybrid Learning Model: Data from the Osteoarthritis Initiative</t>
  </si>
  <si>
    <t>Knee pain is the most common disabling symptom in osteoarthritis (OA). High correlation between knee pain and multiple OA features is reported in literature, but it has not been validated using deep learning models. In this study, we aim to develop a deep hybrid learning model for pain prediction directly from radiography images. We obtain an optimal hybrid model with VGG16, GAP, and KNN combination that gave a maximum of 89.75% accuracy and 0.91 Cohen’s kappa scores. The pain prediction of our proposed approach has achieved 0.99 of receiver operating characteristic area under curve (ROC-AUC). Binary pain classification has demonstrated better precision-recall curve pattern as compared to 11-class, 4-class, and 3-class pain prediction tasks. Based on Gradient-weighted Class Activation Mapping (GradCAM) analysis, joint center was identified as a key area that significantly contributes to the network’s decision-making process. The results of this study demonstrate the capability of hybrid deep learning model in predicting baseline pain severity from plain radiographs, therefore improving future OA pain assessment efforts.</t>
  </si>
  <si>
    <t>D. E. Turan; E. Aptoula; A. Ertürk; G. Taskin</t>
  </si>
  <si>
    <t>IGARSS 2023 - 2023 IEEE International Geoscience and Remote Sensing Symposium</t>
  </si>
  <si>
    <t>5950-5953</t>
  </si>
  <si>
    <t>Backpropagation_x000D_
Decision making_x000D_
Behavioral sciences_x000D_
Convolutional neural networks_x000D_
Artificial intelligence_x000D_
Image classification_x000D_
Hyperspectral imaging_x000D_
Explainable artificial intelligence_x000D_
interpretability_x000D_
hyperspectral images_x000D_
GradCam_x000D_
guided backpropagation</t>
  </si>
  <si>
    <t>10.1109/IGARSS52108.2023.10282341</t>
  </si>
  <si>
    <t>Interpreting Hyperspectral Remote Sensing Image Classification Methods Via Explainable Artificial Intelligence</t>
  </si>
  <si>
    <t>This study addresses the explainability challenges of deep-learning models in the context of hyperspectral remote sensing image classification. Three prominent explainable artificial intelligence methods, namely GradCAM, GradCAM++, and Guided Backpropagation, have been employed in order to comprehend the decision-making process of a typical convolutional neural network model during spatial-spectral hyperspectral image classification. The experiments that have been conducted investigate the impact of pixel patch sizes on spatial attention, as well as spectral band importance. The findings provide insights into the behavior of both convolutional neural networks, as well as the comparative performance of explainability techniques.</t>
  </si>
  <si>
    <t>Solid modeling_x000D_
Analytical models_x000D_
Endoscopes_x000D_
Classification algorithms_x000D_
Feature extraction_x000D_
Wireless communication_x000D_
Gastrointestinal tract_x000D_
Deep learning_x000D_
Artificial intelligence_x000D_
Machine learning_x000D_
explainable AI_x000D_
gastrointestinal diseases_x000D_
vision transformer_x000D_
wireless capsule endoscopy</t>
  </si>
  <si>
    <t>V. Viswan; N. Shaffi; M. Mahmud; K. Subramanian; F. Hajamohideen</t>
  </si>
  <si>
    <t>2023 IEEE Symposium Series on Computational Intelligence (SSCI)</t>
  </si>
  <si>
    <t>1334-1339</t>
  </si>
  <si>
    <t>Neurological diseases_x000D_
Parkinson's disease_x000D_
Pipelines_x000D_
Transfer learning_x000D_
Artificial neural networks_x000D_
Prediction algorithms_x000D_
Classification algorithms_x000D_
Deep Learning_x000D_
Neurodegeneration_x000D_
Alzheimer's Disease_x000D_
Explainability_x000D_
GradCAM</t>
  </si>
  <si>
    <t>10.1109/SSCI52147.2023.10371843</t>
  </si>
  <si>
    <t>A Comparative Study of Pretrained Deep Neural Networks for Classifying Alzheimer's and Parkinson's Disease</t>
  </si>
  <si>
    <t>Early detection of neurodegenerative diseases can be challenging, where Deep Learning (DL) techniques have shown promise. Most DL techniques provide a robust and accurate classification performance. However, due to the complex architectures of the DL models, the classification results are difficult to interpret, causing challenges for their adoption in the healthcare industry. To facilitate this, the current work proposes an effective and interpretable analysis pipeline that compares the performances of pre-trained models for the early detection of Alzheimer's Disease (AD) and Parkinson's Disease (PD). The proposed pipeline allows tuning of hyperparameters, such as batch size, number of epochs, and learning rates, to achieve more robust and accurate classification. Additionally, validation of predictions using heatmaps drawn from GradCAM are also provided.</t>
  </si>
  <si>
    <t>A. C. Woerl; J. Disselhoff; M. Wand</t>
  </si>
  <si>
    <t>1766-1775</t>
  </si>
  <si>
    <t>Training_x000D_
Computer vision_x000D_
Pattern recognition_x000D_
Noise level_x000D_
Image classification_x000D_
Explainable computer vision</t>
  </si>
  <si>
    <t>10.1109/CVPR52729.2023.00176</t>
  </si>
  <si>
    <t>Initialization Noise in Image Gradients and Saliency Maps</t>
  </si>
  <si>
    <t>In this paper, we examine gradients of logits of image classification CNNs by input pixel values. We observe that these fluctuate considerably with training randomness, such as the random initialization of the networks. We extend our study to gradients of intermediate layers, obtained via GradCAM, as well as popular network saliency estimators such as DeepLIFT, SHAP, LIME, Integrated Gradients, and SmoothGrad. While empirical noise levels vary, qualitatively different attributions to image features are still possible with all of these, which comes with implications for interpreting such attributions, in particular when seeking data-driven explanations of the phenomenon generating the data. Finally, we demonstrate that the observed artefacts can be removed by marginalization over the initialization distribution by simple stochastic integration.</t>
  </si>
  <si>
    <t>Z. Xue; K. Yu; P. C. Pearlman; A. Pal; T. C. Chen; C. H. Hua; C. J. Kang; C. Y. Chien; M. H. Tsai; C. P. Wang; A. K. Chaturvedi; S. Antani</t>
  </si>
  <si>
    <t>3218-3221</t>
  </si>
  <si>
    <t>Training_x000D_
Visualization_x000D_
Computational modeling_x000D_
Biological system modeling_x000D_
Mouth_x000D_
Transformers_x000D_
Size measurement</t>
  </si>
  <si>
    <t>10.1109/EMBC48229.2022.9871610</t>
  </si>
  <si>
    <t>Automatic Detection of Oral Lesion Measurement Ruler Toward Computer-Aided Image-Based Oral Cancer Screening</t>
  </si>
  <si>
    <t>Intelligent computer-aided algorithms analyzing photographs of various mouth regions can help in reducing the high subjectivity in human assessment of oral lesions. Very often, in the images, a ruler is placed near a suspected lesion to indicate its location and as a physical size reference. In this paper, we compared two deep-learning networks: ResNeSt and ViT, to automatically identify ruler images. Even though the ImageN et 1K dataset contains a “ruler” class label, the pre-trained models showed low sensitivity. After fine-tuning with our data, the two networks achieved high performance on our test set as well as a hold-out test set from a different provider. Heatmaps generated using three saliency methods: GradCam and XRAI for ResNeSt model, and Attention Rollout for ViT model, demonstrate the effectiveness of our technique. Clinical Relevance- This is a pre-processing step in automated visual evaluation for oral cancer screening</t>
  </si>
  <si>
    <t>R. Yang; F. Pu; Z. Xu; C. Ding; X. Xu</t>
  </si>
  <si>
    <t>IEEE Geoscience and Remote Sensing Letters</t>
  </si>
  <si>
    <t>Training_x000D_
Robustness_x000D_
Feature extraction_x000D_
Clouds_x000D_
Remote sensing_x000D_
Heating systems_x000D_
Semantics_x000D_
Adversarial training_x000D_
attention module_x000D_
distraction module_x000D_
remote sensing image (RSI) scene classification</t>
  </si>
  <si>
    <t>10.1109/LGRS.2021.3079248</t>
  </si>
  <si>
    <t>DA2Net: Distraction-Attention-Driven Adversarial Network for Robust Remote Sensing Image Scene Classification</t>
  </si>
  <si>
    <t>Optical remote sensing image (RSI) is easily affected by weather conditions. When the ground target is sheltered by clouds, extracting scene information from the RSI becomes quite challenging. In this work, we propose a distraction-attention-driven adversarial training network (DA2Net) to learn a robust RSI scene classification model. The distraction module employs a gradient-based class activation mapping (GradCAM++) method to produce partially occluded samples. Through feature map visualization, GradCAM++ can quantify the contribution of each region to the network prediction. Regions in the input image are erased and filled with white pixels if the corresponding contribution is higher than a given threshold. In this way, the distraction module enriches the training sample diversity and benefits the network’s robustness and generalization performance. Training with the partially erased samples, the model can extract sufficient information from other regions even though the target with prominent features is occluded. The attention module highlights important features and information. It encourages the network to mine critical features from the uncovered regions. Competition between the two modules drives the network to improve its robustness and overall performance. Extensive experiments show that the DA2Net provides a promising approach for data augmentation and network training. Analysis of cloud-covered scene classification demonstrates the DA2Net’s robust performance.</t>
  </si>
  <si>
    <t>Yashu; V. Kukreja; K. Madan; A. Singh; D. Kumar</t>
  </si>
  <si>
    <t>2023 3rd International Conference on Smart Generation Computing, Communication and Networking (SMART GENCON)</t>
  </si>
  <si>
    <t>Training_x000D_
Real-time systems_x000D_
Convolutional neural networks_x000D_
Medical diagnosis_x000D_
Reliability_x000D_
Random forests_x000D_
Diseases_x000D_
guava_x000D_
deep learning_x000D_
disease recognition_x000D_
CNN_x000D_
random forest_x000D_
fruit</t>
  </si>
  <si>
    <t>10.1109/SMARTGENCON60755.2023.10442410</t>
  </si>
  <si>
    <t>Precision Agriculture: Guava Disease Diagnosis via CNN and Random Forest</t>
  </si>
  <si>
    <t>Guava is an essential fruit in many areas, but production is hampered by common diseases. In order to accurately identify diseases in guava leaves, this research pioneers a novel approach combining Convolutional Neural Networks (CNN) and Random Forest. For training and validation, a dataset encompassing five main guava diseases is used. Three convolutional layers and max pooling are part of the model architecture, which is repeated for reliable feature extraction. A flattening layer follows this, and then the Random Forest classifier—which is set up with 12 decision trees—enters. With 98.9% in 5-fold cross validation and 99.2% in 10-fold cross validation, experimental results demonstrate exceptional accuracy. The model outperforms current methods, demonstrating its effectiveness in diagnosing diseases. Additional performance indicators include precision, recall, and F1-scores. The suggested methodology not only aids in early disease diagnosis but also assures guava farmers of significant financial gains by reducing yield losses. The GradCAM method also offers transparency, providing insightful information into the model's decision-making process. The dataset needs to be expanded, and real-time deployment options need to be investigated. This study represents an important advance in precision agriculture and may completely alter how guava disease is managed.</t>
  </si>
  <si>
    <t>N. S. M. Zamani; W. M. D. W. Zaki; A. B. Huddin; Z. A. Hamid</t>
  </si>
  <si>
    <t>2022 IEEE 10th Conference on Systems, Process &amp; Control (ICSPC)</t>
  </si>
  <si>
    <t>330-334</t>
  </si>
  <si>
    <t>Deep learning_x000D_
Training_x000D_
Sensitivity_x000D_
Microscopy_x000D_
Neural networks_x000D_
Focusing_x000D_
Feature extraction_x000D_
colony-formation unit (CFU)_x000D_
region of interest (ROI)_x000D_
CFU analysis</t>
  </si>
  <si>
    <t>10.1109/ICSPC55597.2022.10001743</t>
  </si>
  <si>
    <t>Region of Interest Localisation of Hematopoietic Stem/Progenitor Cell Images</t>
  </si>
  <si>
    <t>Image classification using deep learning has been widely implemented, primarily in medical imaging. However, features and focus regions are extracted by the network, becomes a black box mystery in the feature extraction layer during network training, unlike conventional feature extraction approaches, where various methods can extract image features. Regardless, traditional image feature extraction is laborious to find the most suitable algorithm. It takes time to meet the significant image features before classification and final image localisation, especially for the microscopic images. Therefore, a method to localise the region of interest (ROI) in vitro of the colony-formation unit (CFU) of hematopoietic stem/progenitor cell (HSPC) using gradCAM through deep learning, approaches have been proposed. This work comprises three main phases: CFU data preparation, convolutional neural network (CNN) pre-trained networks and localisation of the ROI. The proposed method has successfully localised the ROI of the CFU HSPC using gradCAM through a deep neural network with 87.5% sensitivity performed by DarkNet19. The finding of this work can be used as a baseline for future CFU HSPC classification that focuses on the CFU region.</t>
  </si>
  <si>
    <t>L. Zhao; Y. Zeng; P. Liu; G. He</t>
  </si>
  <si>
    <t>56000-56014</t>
  </si>
  <si>
    <t>Hyperspectral imaging_x000D_
Backpropagation_x000D_
Deep learning_x000D_
Heating systems_x000D_
Hidden Markov models_x000D_
Convolution_x000D_
Explainability of CNN_x000D_
hyperspectral_x000D_
gradient-weighted class activation_x000D_
guided backpropagation_x000D_
band selection</t>
  </si>
  <si>
    <t>10.1109/ACCESS.2020.2981475</t>
  </si>
  <si>
    <t>Band Selection via Explanations From Convolutional Neural Networks</t>
  </si>
  <si>
    <t>Band Selection is a research hotspot in the field of hyperspectral imaging (HSI) processing. This paper proposes a method that selects bands for HSI classification by the explainability of a convolutional neural network (CNN). We design a CNN architecture and use its 1D gradient-weighted class activation mapping (GradCAM) to obtain a gradient-weighted heatmap (GradHM) by the last layer in the well-trained CNN. Since the pooling layer in the CNN leads to a dimension change of the GradHM, cubic spline interpolation (CSI) is used to up-sample the GradHM. To further improve the accuracy of the up-sampled GradHM for the important band, guided backpropagation was adopted to obtain a more detailed GradHM (Guided-GradHM). Finally, based on GradHM and Guided-GradHM, two strategies, named Average Selection (AS) and Total Selection (TS), are proposed to form new and different combinations of methods (GradHM+AS, GradHM+TS, Guided-GradHM+AS, and Guided-GradHM+TS). In experiments, the proposed methods show better performance compared to other methods. In most cases, if the selected bands were fewer, then the Guided-GradHM+AS was more credible than the other methods. Furthermore, different datasets were used to validate the proposed methods.</t>
  </si>
  <si>
    <t>J. P. Amorim; P. H. Abreu; J. Santos; M. Cortes; V. Vila</t>
  </si>
  <si>
    <t>Evaluating the faithfulness of saliency maps in explaining deep learning models using realistic perturbations</t>
  </si>
  <si>
    <t>https://www.sciencedirect.com/science/article/pii/S0306457322003260</t>
  </si>
  <si>
    <t>https://doi.org/10.1016/j.ipm.2022.103225</t>
  </si>
  <si>
    <t>Deep learning_x000D_
Interpretability_x000D_
Saliency map_x000D_
Convolutional neural network</t>
  </si>
  <si>
    <t>Deep Learning has reached human-level performance in several medical tasks including classification of histopathological images. Continuous effort has been made at finding effective strategies to interpret these types of models, among them saliency maps, which depict the weights of the pixels on the classification as an heatmap of intensity values, have been by far the most used for image classification. However, there is a lack of tools for the systematic evaluation of saliency maps, and existing works introduce non-natural noise such as random or uniform values. To address this issue, we propose an approach to evaluate the faithfulness of the saliency maps by introducing natural perturbations in the image, based on oppose-class substitution, and studying their impact on evaluation metrics adapted from saliency models. We validate the proposed approach on a breast cancer metastases detection dataset PatchCamelyon with 327,680 patches of histopathological images of sentinel lymph node sections. Results show that GradCAM, Guided-GradCAM and gradient-based saliency map methods are sensitive to natural perturbations and correlate to the presence of tumor evidence in the image. Overall, this approach proves to be a solution for the validation of saliency map methods without introducing confounding variables and shows potential for application on other medical imaging tasks.</t>
  </si>
  <si>
    <t>Gastrointestinal disease_x000D_
Wireless capsule endoscopy_x000D_
Convolutional neural network_x000D_
Deep learning_x000D_
GradCAM_x000D_
Guided-GradCAM</t>
  </si>
  <si>
    <t>Purpose Detection of gastrointestinal (GI) diseases involves several expensive, challenging, and time-consuming procedures. Deep learning techniques-based computer-aided diagnosis can significantly reduce the costs associated with examinations while enhancing the accuracy and speed of diagnosis. Methods This study developed a 13-layered convolutional neural network (CNN) model named as GINet for diagnosing GI diseases such as angiectasia, lymphangiectasia, GI bleeding, and ulcer. The model was trained, validated, and tested on 3658 wireless capsule endoscopy images. Results The GINet achieved an overall classification accuracy of 99% (standard error (SE): 0.7%) on the test dataset. The model achieved an overall sensitivity of 99.6 % (SE:0.5%) and specificity of 99.86%(SE:0.3%) on the test. We additionally employ GradCAM and Guided-GradCAM technique to enhance the interpretability and localization of detected lesions. Furthermore, the study effectively addressed biases that could arise from combining video frames of the same patients through domain adaptation techniques, ensuring accurate and unbiased analysis. Conclusions The results revealed that the GINet can classify GI diseases with higher sensitivity and specificity. Furthermore, the proposed approach has the potential for first-hand mass screening efforts, where advanced disease stages can be identified. This approach additionally helps gastroenterologists make quick and accurate treatment decisions at reduced time and cost.</t>
  </si>
  <si>
    <t>P. Besson; T. Parrish; A. K. Katsaggelos; S. K. Bandt</t>
  </si>
  <si>
    <t>Geometric deep learning on brain shape predicts sex and age</t>
  </si>
  <si>
    <t>Computerized Medical Imaging and Graphics</t>
  </si>
  <si>
    <t>https://www.sciencedirect.com/science/article/pii/S0895611121000884</t>
  </si>
  <si>
    <t>https://doi.org/10.1016/j.compmedimag.2021.101939</t>
  </si>
  <si>
    <t>Geometric deep learning_x000D_
Brain shape_x000D_
Brain mapping_x000D_
Precision medicine_x000D_
Population health_x000D_
Big data</t>
  </si>
  <si>
    <t>The complex relationship between the shape and function of the human brain remains elusive despite extensive studies of cortical folding over many decades. The analysis of cortical gyrification presents an opportunity to advance our knowledge about this relationship, and better understand the etiology of a variety of pathologies involving diverse degrees of cortical folding abnormalities. Hypothesis-driven surface-based approaches have been shown to be particularly efficient in their ability to accurately describe unique features of the folded sheet topology of the cortical ribbon. However, the utility of these approaches has been blunted by their reliance on manually defined features aiming to capture the relevant geometric properties of cortical folding. In this paper, we propose an entirely novel, data-driven deep-learning based method to analyze the brain’s shape that eliminates this reliance on manual feature definition. This method builds on the emerging field of geometric deep-learning and uses traditional convolutional neural network architecture uniquely adapted to the surface representation of the cortical ribbon. This method is a complete departure from prior brain MRI CNN investigations, all of which have relied on three dimensional MRI data and interpreted features of the MRI signal for prediction. MRI data from 6410 healthy subjects obtained from 11 publicly available data repositories were used for analysis. Ages ranged from 6 to 89 years. Both inner and outer cortical surfaces were extracted using Freesurfer and then registered into MNI space. For purposes of method development, both a classification and regression challenge were introduced for network learning including sex and age prediction, respectively. Two independent graph convolutional neural networks (gCNNs) were trained, the first of which to predict subject’s self-identified sex, the second of which to predict subject’s age. Class Activation Maps (CAM) and Regression Activation Maps (RAM) were constructed respectively to map the topographic distribution of the most influential brain regions involved in the decision process for each gCNN. Using this approach, the gCNN was able to predict a subject’s sex with an average accuracy of 87.99 % and achieved a Person’s coefficient of correlation of 0.93 with an average absolute error 4.58 years when predicting a subject’s age. We believe this shape-based convolutional classifier offers a novel, data-driven approach to define biomedically relevant features from the brain at both the population and single subject levels and therefore lays a critical foundation for future precision medicine applications.</t>
  </si>
  <si>
    <t>A. Bhatt; A. Ganatra; K. Kotecha</t>
  </si>
  <si>
    <t>COVID-19 pulmonary consolidations detection in chest X-ray using progressive resizing and transfer learning techniques</t>
  </si>
  <si>
    <t>e07211</t>
  </si>
  <si>
    <t>https://www.sciencedirect.com/science/article/pii/S2405844021013141</t>
  </si>
  <si>
    <t>https://doi.org/10.1016/j.heliyon.2021.e07211</t>
  </si>
  <si>
    <t>COVID-19_x000D_
Chest X-ray analysis_x000D_
Pulmonary consolidations_x000D_
Transfer learning_x000D_
Progressive resizing_x000D_
Saliency maps</t>
  </si>
  <si>
    <t>A viral outbreak with a lower respiratory tract febrile illness causes pulmonary syndrome named COVID-19. Pulmonary consolidations developed in the lungs of the patients are imperative factors during prognosis and diagnosis. Existing Deep Learning techniques demonstrate promising results in analyzing X-ray images when employed with Transfer Learning. However, Transfer Learning has its inherent limitations, which can be prevaricated by employing the Progressive Resizing technique. The Progressive Resizing technique reuses old computations while learning new ones in Convolution Neural Networks (CNN), enabling it to incorporate prior knowledge of the feature hierarchy. The proposed classification model can classify pulmonary consolidation into normal, pneumonia, and SARS-CoV-2 classes by analyzing X-rays images. The method exhibits substantial enhancement in classification results when the Transfer Learning technique is applied in consultation with the Progressive Resizing technique on EfficientNet CNN. The customized VGG-19 model attained benchmark scores in all evaluation criteria over the baseline VGG-19 model. GradCam based feature interpretation, coupled with X-ray visual analysis, facilitates improved assimilation of the scores. The model highlights its strength to assist medical experts in the COVID-19 identification during the prognosis and subsequently for diagnosis. Clinical implications exist in peripheral and remotely located health centers with the paucity of trained human resources to interpret radiological investigations' findings.</t>
  </si>
  <si>
    <t>L. Bloch; C. M. Friedrich</t>
  </si>
  <si>
    <t>Systematic comparison of 3D Deep learning and classical machine learning explanations for Alzheimer’s Disease detection</t>
  </si>
  <si>
    <t>https://www.sciencedirect.com/science/article/pii/S0010482524001136</t>
  </si>
  <si>
    <t>https://doi.org/10.1016/j.compbiomed.2024.108029</t>
  </si>
  <si>
    <t>Alzheimer’s Disease_x000D_
Interpretable Machine Learning_x000D_
SHAP_x000D_
LIME_x000D_
GradCAM_x000D_
3D CNN</t>
  </si>
  <si>
    <t>Black-box deep learning (DL) models trained for the early detection of Alzheimer’s Disease (AD) often lack systematic model interpretation. This work computes the activated brain regions during DL and compares those with classical Machine Learning (ML) explanations. The architectures used for DL were 3D DenseNets, EfficientNets, and Squeeze-and-Excitation (SE) networks. The classical models include Random Forests (RFs), Support Vector Machines (SVMs), eXtreme Gradient Boosting (XGBoost), Light Gradient Boosting (LightGBM), Decision Trees (DTs), and Logistic Regression (LR). For explanations, SHapley Additive exPlanations (SHAP) values, Local Interpretable Model-agnostic Explanations (LIME), Gradient-weighted Class Activation Mapping (GradCAM), GradCAM++ and permutation-based feature importance were implemented. During interpretation, correlated features were consolidated into aspects. All models were trained on the Alzheimer’s Disease Neuroimaging Initiative (ADNI) dataset. The validation includes internal and external validation on the Australian Imaging and Lifestyle flagship study of Ageing (AIBL) and the Open Access Series of Imaging Studies (OASIS). DL and ML models reached similar classification performances. Regarding the brain regions, both types focus on different regions. The ML models focus on the inferior and middle temporal gyri, and the hippocampus, and amygdala regions previously associated with AD. The DL models focus on a wider range of regions including the optical chiasm, the entorhinal cortices, the left and right vessels, and the 4th ventricle which were partially associated with AD. One explanation for the differences is the input features (textures vs. volumes). Both types show reasonable similarity to a ground truth Voxel-Based Morphometry (VBM) analysis. Slightly higher similarities were measured for ML models.</t>
  </si>
  <si>
    <t>J. Chang; J. Lee; A. Ha; Y. S. Han; E. Bak; S. Choi; J. M. Yun; U. Kang; I. H. Shin; J. Y. Shin; T. Ko; Y. S. Bae; B.-L. Oh; K. H. Park; S. M. Park</t>
  </si>
  <si>
    <t>Ophthalmology</t>
  </si>
  <si>
    <t>78-88</t>
  </si>
  <si>
    <t>https://www.sciencedirect.com/science/article/pii/S0161642020305790</t>
  </si>
  <si>
    <t>https://doi.org/10.1016/j.ophtha.2020.06.036</t>
  </si>
  <si>
    <t>Purpose To illustrate what is inside the so-called black box of deep learning models (DLMs) so that clinicians can have greater confidence in the conclusions of artificial intelligence by evaluating adversarial explanation on its ability to explain the rationale of DLM decisions for glaucoma and glaucoma-related findings. Adversarial explanation generates adversarial examples (AEs), or images that have been changed to gain or lose pathologic characteristic-specific traits, to explain the DLM’s rationale. Design Evaluation of explanation methods for DLMs. Participants Health screening participants (n = 1653) at the Seoul National University Hospital Health Promotion Center, Seoul, Republic of Korea. Methods We trained DLMs for referable glaucoma (RG), increased cup-to-disc ratio (ICDR), disc rim narrowing (DRN), and retinal nerve fiber layer defect (RNFLD) using 6430 retinal fundus images. Surveys consisting of explanations using AE and gradient-weighted class activation mapping (GradCAM), a conventional heatmap-based explanation method, were generated for 400 pathologic and healthy patient eyes. For each method, board-trained glaucoma specialists rated location explainability, the ability to pinpoint decision-relevant areas in the image, and rationale explainability, the ability to inform the user on the model’s reasoning for the decision based on pathologic features. Scores were compared by paired Wilcoxon signed-rank test. Main Outcome Measures Area under the receiver operating characteristic curve (AUC), sensitivities, and specificities of DLMs; visualization of clinical pathologic changes of AEs; and survey scores for locational and rationale explainability. Results The AUCs were 0.90, 0.99, 0.95, and 0.79 and sensitivities were 0.79, 1.00, 0.82, and 0.55 at 0.90 specificity for RG, ICDR, DRN, and RNFLD DLMs, respectively. Generated AEs showed valid clinical feature changes, and survey results for location explainability were 3.94 ± 1.33 and 2.55 ± 1.24 using AEs and GradCAMs, respectively, of a possible maximum score of 5 points. The scores for rationale explainability were 3.97 ± 1.31 and 2.10 ± 1.25 for AEs and GradCAM, respectively. Adversarial example provided significantly better explainability than GradCAM. Conclusions Adversarial explanation increased the explainability over GradCAM, a conventional heatmap-based explanation method. Adversarial explanation may help medical professionals understand more clearly the rationale of DLMs when using them for clinical decisions.</t>
  </si>
  <si>
    <t>C.-J. Chao; J. Jeong; R. Arsanjani; K. Kim; Y.-L. Tsai; W.-C. Yu; J. M. Farina; A. K. Mahmoud; C. Ayoub; M. Grogan; G. C. Kane; I. Banerjee; J. K. Oh</t>
  </si>
  <si>
    <t>Echocardiography-Based Deep Learning Model to Differentiate Constrictive Pericarditis and Restrictive Cardiomyopathy</t>
  </si>
  <si>
    <t>JACC: Cardiovascular Imaging</t>
  </si>
  <si>
    <t>https://www.sciencedirect.com/science/article/pii/S1936878X23004370</t>
  </si>
  <si>
    <t>https://doi.org/10.1016/j.jcmg.2023.09.011</t>
  </si>
  <si>
    <t>artificial intelligence_x000D_
constrictive pericarditis_x000D_
deep learning_x000D_
echocardiography_x000D_
restrictive cardiomyopathy</t>
  </si>
  <si>
    <t>Background Constrictive pericarditis (CP) is an uncommon but reversible cause of diastolic heart failure if appropriately identified and treated. However, its diagnosis remains a challenge for clinicians. Artificial intelligence may enhance the identification of CP. Objectives The authors proposed a deep learning approach based on transthoracic echocardiography to differentiate CP from restrictive cardiomyopathy. Methods Patients with a confirmed diagnosis of CP and cardiac amyloidosis (CA) (as the representative disease of restrictive cardiomyopathy) at Mayo Clinic Rochester from January 2003 to December 2021 were identified to extract baseline demographics. The apical 4-chamber view from transthoracic echocardiography studies was used as input data. The patients were split into a 60:20:20 ratio for training, validation, and held-out test sets of the ResNet50 deep learning model. The model performance (differentiating CP and CA) was evaluated in the test set with the area under the curve. GradCAM was used for model interpretation. Results A total of 381 patients were identified, including 184 (48.3%) CP, and 197 (51.7%) CA cases. The mean age was 68.7 ± 11.4 years, and 72.8% were male. ResNet50 had a performance with an area under the curve of 0.97 to differentiate the 2-class classification task (CP vs CA). The GradCAM heatmap showed activation around the ventricular septal area. Conclusions With a standard apical 4-chamber view, our artificial intelligence model provides a platform to facilitate the detection of CP, allowing for improved workflow efficiency and prompt referral for more advanced evaluation and intervention of CP.</t>
  </si>
  <si>
    <t>D. Chowdhury; A. Das; A. Dey; S. Banerjee; M. Golec; D. Kollias; M. Kumar; G. Kaur; R. Kaur; R. C. Arya; G. Wander; P. Wander; G. S. Wander; A. K. Parlikad; S. S. Gill; S. Uhlig</t>
  </si>
  <si>
    <t>CoviDetector: A transfer learning-based semi supervised approach to detect Covid-19 using CXR images</t>
  </si>
  <si>
    <t>BenchCouncil Transactions on Benchmarks, Standards and Evaluations</t>
  </si>
  <si>
    <t>https://www.sciencedirect.com/science/article/pii/S2772485923000364</t>
  </si>
  <si>
    <t>https://doi.org/10.1016/j.tbench.2023.100119</t>
  </si>
  <si>
    <t>Machine learning_x000D_
Deep neural network_x000D_
Transfer learning_x000D_
Android app_x000D_
Chest X-ray (CXR)_x000D_
COVID-19_x000D_
Healthcare</t>
  </si>
  <si>
    <t>COVID-19 was one of the deadliest and most infectious illnesses of this century. Research has been done to decrease pandemic deaths and slow down its spread. COVID-19 detection investigations have utilised Chest X-ray (CXR) images with deep learning techniques with its sensitivity in identifying pneumonic alterations. However, CXR images are not publicly available due to users’ privacy concerns, resulting in a challenge to train a highly accurate deep learning model from scratch. Therefore, we proposed CoviDetector, a new semi-supervised approach based on transfer learning and clustering, which displays improved performance and requires less training data. CXR images are given as input to this model, and individuals are categorised into three classes: (1) COVID-19 positive; (2) Viral pneumonia; and (3) Normal. The performance of CoviDetector has been evaluated on four different datasets, achieving over 99% accuracy on them. Additionally, we generate heatmaps utilising Grad-CAM and overlay them on the CXR images to present the highlighted areas that were deciding factors in detecting COVID-19. Finally, we developed an Android app to offer a user-friendly interface. We release the code, datasets and results’ scripts of CoviDetector for reproducibility purposes; they are available at: https://github.com/dasanik2001/CoviDetector</t>
  </si>
  <si>
    <t>T. Faruk; L. C. Shum; A. Iaboni; S. S. Khan</t>
  </si>
  <si>
    <t>Walking path images from real-time location data predict degree of cognitive impairment</t>
  </si>
  <si>
    <t>https://www.sciencedirect.com/science/article/pii/S0933365723001719</t>
  </si>
  <si>
    <t>https://doi.org/10.1016/j.artmed.2023.102657</t>
  </si>
  <si>
    <t>Dementia classification_x000D_
Walking patterns_x000D_
Artificial Intelligence_x000D_
Deep learning_x000D_
Real-time location systems_x000D_
Classification Activation Maps_x000D_
Health monitoring technology</t>
  </si>
  <si>
    <t>Background We propose a novel approach that uses spatial walking patterns produced by real-time location systems to classify the severity of cognitive impairment (CI) among residents of a memory care unit. Methods Each participant was classified as “No-CI”, “Mild-Moderate CI” or “Severe CI” based on their Mini-Mental State Examination scores. The location data was distributed into windows of various durations (5, 10, 15 and 30 min) and transformed into images used to train a custom convolutional neural network (CNN) at each window size. Class Activation Mapping was applied to the top-performing models to determine the features of images associated with each class. Results The best performing model achieved an accuracy of 87.38 % (30-min window length) with an overall pattern that larger window sizes perform better. The class activation maps were effectively consolidated into a Cognitive Impairment Classification Value (CICV) score that distinguishes between No-CI, Mild-Moderate CI, and Severe CI. Conclusion The class activation maps show that the CNN made relevant and intuitive distinctions for paths corresponding to each class. Future work should validate the proposed techniques with participants who are well-characterized clinically, over larger and diversified settings, and towards classification of neuropsychiatric symptoms such as motor agitation, mood, or apathy.</t>
  </si>
  <si>
    <t>S. Feng; D. Zhao; Q. Guan; J. Li; Z. Liu; Z. Jin; G. Li; T. Xu</t>
  </si>
  <si>
    <t>A deep convolutional neural network-based wavelength selection method for spectral characteristics of rice blast disease</t>
  </si>
  <si>
    <t>Computers and Electronics in Agriculture</t>
  </si>
  <si>
    <t>https://www.sciencedirect.com/science/article/pii/S0168169922005154</t>
  </si>
  <si>
    <t>https://doi.org/10.1016/j.compag.2022.107199</t>
  </si>
  <si>
    <t>Rice blast_x000D_
Hyperspectral_x000D_
Characteristic wavelength_x000D_
Deep convolutional neural network_x000D_
Visualization</t>
  </si>
  <si>
    <t>Characteristic wavelength selection is a research hotspot in hyperspectral data processing and a key to improving the accuracy of identifying the degree of rice blast infection. This study combines deep learning and visualization techniques to create a wavelength selection method for spectral features of rice blast. A deep convolutional neural (DCNN) structure was designed by combining the convolutional block attention module (CBAM) with residual network (ResNet) to learn different classes of disease features. And the guided grade-weighted heatmap (Guided-GradHM) of the last layer of convolution was obtained using the guided gradient-weighted class activation mapping (Guided-GradCAM) method. Then the spectral characteristic wavelengths were selected based on the average Guided-GradHM of different disease levels. Finally, statistical analysis (JM distance, within-class scatter) and comparative modeling analysis were used to verify the method's validity in this study. The results show that the characteristic wavelengths selected by the Guided-GradCAM method based on the ResNet-CBAM network structure have good inter-class separability and intra-class aggregation, with JM distance greater than 1.9 and within-class scatter less than 0.4. Meanwhile, the random forest (RF) and support vector machine (SVM) models constructed from the spectral characteristic wavelengths selected by the Guided-GradCAM method achieved the best disease level classification accuracy, with overall accuracy (OA) and Kappa of 97.21% and 96.55%, 96.51%, and 95.69%, respectively. Overall, this research method can more accurately select the spectral characteristic wavelengths of different disease levels of rice blast and can provide a more effective method for accurate identification and timely control of the disease.</t>
  </si>
  <si>
    <t>A. Garg; S. Salehi; M. L. Rocca; R. Garner; D. Duncan</t>
  </si>
  <si>
    <t>Efficient and visualizable convolutional neural networks for COVID-19 classification using Chest CT</t>
  </si>
  <si>
    <t>https://www.sciencedirect.com/science/article/pii/S0957417422000392</t>
  </si>
  <si>
    <t>https://doi.org/10.1016/j.eswa.2022.116540</t>
  </si>
  <si>
    <t>Computed tomography_x000D_
Convolutional neural networks_x000D_
COVID-19_x000D_
Deep learning_x000D_
EfficientNets</t>
  </si>
  <si>
    <t>With coronavirus disease 2019 (COVID-19) cases rising rapidly, deep learning has emerged as a promising diagnosis technique. However, identifying the most accurate models to characterize COVID-19 patients is challenging because comparing results obtained with different types of data and acquisition processes is non-trivial. In this paper we designed, evaluated, and compared the performance of 20 convolutional neutral networks in classifying patients as COVID-19 positive, healthy, or suffering from other pulmonary lung infections based on chest computed tomography (CT) scans, serving as the first to consider the EfficientNet family for COVID-19 diagnosis and employ intermediate activation maps for visualizing model performance. All models are trained and evaluated in Python using 4173 chest CT images from the dataset entitled “A COVID multiclass dataset of CT scans,” with 2168, 758, and 1247 images of patients that are COVID-19 positive, healthy, or suffering from other pulmonary infections, respectively. EfficientNet-B5 was identified as the best model with an F1 score of 0.9769 ± 0.0046, accuracy of 0.9759 ± 0.0048, sensitivity of 0.9788 ± 0.0055, specificity of 0.9730 ± 0.0057, and precision of 0.9751 ± 0.0051. On an alternate 2-class dataset, EfficientNetB5 obtained an accuracy of 0.9845 ± 0.0109, F1 score of 0.9599 ± 0.0251, sensitivity of 0.9682 ± 0.0099, specificity of 0.9883 ± 0.0150, and precision of 0.9526 ± 0.0523. Intermediate activation maps and Gradient-weighted Class Activation Mappings offered human-interpretable evidence of the model’s perception of ground-class opacities and consolidations, hinting towards a promising use-case of artificial intelligence-assisted radiology tools. With a prediction speed of under 0.1 s on GPUs and 0.5 s on CPUs, our proposed model offers a rapid, scalable, and accurate diagnostic for COVID-19.</t>
  </si>
  <si>
    <t>K. Hacıefendioğlu; H. B. Başağa; Z. Yavuz; M. T. Karimi</t>
  </si>
  <si>
    <t>Intelligent ice detection on wind turbine blades using semantic segmentation and class activation map approaches based on deep learning method</t>
  </si>
  <si>
    <t>Renewable Energy</t>
  </si>
  <si>
    <t>https://www.sciencedirect.com/science/article/pii/S0960148121014828</t>
  </si>
  <si>
    <t>https://doi.org/10.1016/j.renene.2021.10.025</t>
  </si>
  <si>
    <t>Deep learning method_x000D_
Icing_x000D_
Wind turbine_x000D_
U-net_x000D_
VGG-16_x000D_
VGG-19_x000D_
Resnet-50_x000D_
Inception-V3_x000D_
GradCAM_x000D_
ScoreCAM</t>
  </si>
  <si>
    <t>Studying the efficacy of intelligent systems to successfully detect ice accumulation on wind turbines in cold climates has been gaining traction in recent years. In this study, both visualization and segmentation techniques were utilized in order to compare their respective results in the detection of ice on wind turbines. In pursuit of this objective, photos of wind turbines, taken under different conditions, were analyzed. To correctly classify objects automatically, pre-trained models of Resnet-50, VGG-16, VGG-19, and Inception-V3, were used. The deep learning approaches used to reliably predict the exact position of icing on wind turbine blades, including the visualization techniques Grad-CAM, Grad-CAM ++, and Score-CAM, proved to have adequate reliability with Score-CAM subsequently identified as the best visualization technique for localization. Additionally, the U-Net segmentation approach was used to delineate icing area boundaries. The U-Net approach was compared with the best visualization technique and pre-trained model to evaluate the visualization efficiency in different situations, including near and far views of a wind turbine, ice density, and light. Results showed that these methods have a high degree of accuracy in detecting ice on wind turbines.</t>
  </si>
  <si>
    <t>D. Heinke; P. Wachman; W. van Zoest; E. C. Leek</t>
  </si>
  <si>
    <t>A failure to learn object shape geometry: Implications for convolutional neural networks as plausible models of biological vision</t>
  </si>
  <si>
    <t>Vision Research</t>
  </si>
  <si>
    <t>81-92</t>
  </si>
  <si>
    <t>https://www.sciencedirect.com/science/article/pii/S0042698921002017</t>
  </si>
  <si>
    <t>https://doi.org/10.1016/j.visres.2021.09.004</t>
  </si>
  <si>
    <t>Visual processing_x000D_
Convolutional neural networks_x000D_
Shape processing</t>
  </si>
  <si>
    <t>Here we examine the plausibility of deep convolutional neural networks (CNNs) as a theoretical framework for understanding biological vision in the context of image classification. Recent work on object recognition in human vision has shown that both global, and local, shape information is computed, and integrated, early during perceptual processing. Our goal was to compare the similarity in how object shape information is processed by CNNs and human observers. We tested the hypothesis that, unlike the human system, CNNs do not compute representations of global and local object geometry during image classification. To do so, we trained and tested six CNNs (AlexNet, VGG-11, VGG-16, ResNet-18, ResNet-50, GoogLeNet), and human observers, to discriminate geometrically possible and impossible objects. The ability to complete this task requires computation of a representational structure of shape that encodes both global and local object geometry because the detection of impossibility derives from an incongruity between well-formed local feature conjunctions and their integration into a geometrically well-formed 3D global shape. Unlike human observers, none of the tested CNNs could reliably discriminate between possible and impossible objects. Detailed analyses using gradient-weighted class activation mapping (GradCam) of CNN image feature processing showed that network classification performance was not constrained by object geometry. In contrast, if classification could be made based solely on local feature information in line drawings the CNNs were highly accurate. We argue that these findings reflect fundamental differences between CNNs and human vision in terms of underlying image processing structure. Notably, unlike human vision, CNNs do not compute representations of object geometry. The results challenge the plausibility of CNNs as a framework for understanding image classification in biological vision systems.</t>
  </si>
  <si>
    <t>https://doi.org/10.1016/j.compbiomed.2024.108012</t>
  </si>
  <si>
    <t>Deep learning_x000D_
Explainable artificial intelligence_x000D_
Medical imaging_x000D_
Software deployment</t>
  </si>
  <si>
    <t>Around the globe, respiratory lung diseases pose a severe threat to human survival. Based on a central goal to reduce contiguous transmission from infected to healthy persons, several technologies have evolved for diagnosing lung pathologies. One of the emerging technologies is the utility of Artificial Intelligence (AI) based on computer vision for processing wide varieties of medical imaging but AI methods without explainability are often treated as a black box. Based on a view to demystifying the rationale influencing AI decisions, this paper designed and developed a novel low-cost explainable deep-learning diagnostic tool for predicting lung disease from medical images. For this, we investigated explainable deep learning (DL) models (conventional DL and vision transformers (ViTs)) for performing prediction of the existence of pneumonia, COVID19, or no-disease from both original and data augmentation (DA)-based medical images (from two chest X-ray datasets). The results show that our experimental consideration of the DA that combines the impact of cropping, rotation, and horizontal flipping (CROP+ROT+HF) for transforming input images and then passed as input to an Inception-V3 architecture yielded a performance that surpasses all the ViTs and other conventional DL approaches in most of the evaluated performance metrics. Overall, the results suggest that the utility of data augmentation schemes aided the DL methods to yield higher classification accuracies. Furthermore, we compared five different class activation mapping (CAM) algorithms (GradCAM, GradCAM++, EigenGradCAM, AblationCAM, and RandomCAM). The result shows that most of the examined CAM algorithms were effective in identifying the attention region containing the existence of pneumonia or COVID-19 from the medical images (chest X-rays). Our developed low-cost AI diagnostic tool (pilot system) can assist medical experts and radiographers in proffering early diagnosis of lung disease. For this, we selected five to seven deep learning models and the explainable algorithms were deployed on a novel web interface implemented via a Gradio framework.</t>
  </si>
  <si>
    <t>H. D. Jahja; N. Yudistira; Sutrisno</t>
  </si>
  <si>
    <t>Mask usage recognition using vision transformer with transfer learning and data augmentation</t>
  </si>
  <si>
    <t>https://www.sciencedirect.com/science/article/pii/S266730532300011X</t>
  </si>
  <si>
    <t>https://doi.org/10.1016/j.iswa.2023.200186</t>
  </si>
  <si>
    <t>Mask classification_x000D_
Vision transformers_x000D_
Transfer learning_x000D_
Data augmentation</t>
  </si>
  <si>
    <t>The COVID-19 pandemic has disrupted various levels of society. The use of masks is essential in preventing the spread of COVID-19 by identifying an image of a person using a mask. Although only 23.1% of people use masks correctly, Artificial Neural Networks (ANN) can help classify the use of good masks to help slow the spread of the Covid-19 virus. However, it requires a large dataset to train an ANN that can classify the use of masks correctly. MaskedFace-Net is a suitable dataset consisting of 137016 digital images with 4 class labels, namely Mask, Mask Chin, Mask Mouth Chin, and Mask Nose Mouth. Mask classification training utilizes Vision Transformers (ViT) architecture with transfer learning method using pre-trained weights on ImageNet-21k, with random augmentation. In addition, the hyper-parameters of training of 20 epochs, an Stochastic Gradient Descent (SGD) optimizer with a learning rate of 0.03, a batch size of 64, a Gaussian Cumulative Distribution (GeLU) activation function, and a Cross-Entropy loss function are used to be applied on the training of three architectures of ViT, namely Base-16, Large-16, and Huge-14. Furthermore, comparisons of with and without augmentation and transfer learning are conducted. This study found that the best classification is transfer learning and augmentation using ViT Huge-14. Using this method on MaskedFace-Net dataset, the research reaches an accuracy of 0.9601 on training data, 0.9412 on validation data, and 0.9534 on test data. This research shows that training the ViT model with data augmentation and transfer learning improves classification of the mask usage, even better than convolutional-based Residual Network (ResNet).</t>
  </si>
  <si>
    <t>Deep convolutional neural network_x000D_
Attention mechanism_x000D_
Wireless capsule endoscopy_x000D_
Anomaly detection_x000D_
Localization</t>
  </si>
  <si>
    <t>Wireless capsule endoscopy (WCE) is one of the most efficient methods for the examination of gastrointestinal tracts. Computer-aided intelligent diagnostic tools alleviate the challenges faced during manual inspection of long WCE videos. Several approaches have been proposed in the literature for the automatic detection and localization of anomalies in WCE images. Some of them focus on specific anomalies such as bleeding, polyp, lesion, etc. However, relatively fewer generic methods have been proposed to detect all those common anomalies simultaneously. In this paper, a deep convolutional neural network (CNN) based model ‘WCENet’ is proposed for anomaly detection and localization in WCE images. The model works in two phases. In the first phase, a simple and efficient attention-based CNN classifies an image into one of the four categories: polyp, vascular, inflammatory, or normal. If the image is classified in one of the abnormal categories, it is processed in the second phase for the anomaly localization. Fusion of Grad-CAM++ and a custom SegNet is used for anomalous region segmentation in the abnormal image. WCENet classifier attains accuracy and area under receiver operating characteristic of 98% and 99%. The WCENet segmentation model obtains a frequency weighted intersection over union of 81%, and an average dice score of 56% on the KID dataset. WCENet outperforms nine different state-of-the-art conventional machine learning and deep learning models on the KID dataset. The proposed model demonstrates potential for clinical applications.</t>
  </si>
  <si>
    <t>A. Khan; S. Han; N. Ilyas; Y.-M. Lee; B. Lee</t>
  </si>
  <si>
    <t>CervixFormer: A Multi-scale swin transformer-Based cervical pap-Smear WSI classification framework</t>
  </si>
  <si>
    <t>https://www.sciencedirect.com/science/article/pii/S016926072300384X</t>
  </si>
  <si>
    <t>https://doi.org/10.1016/j.cmpb.2023.107718</t>
  </si>
  <si>
    <t>Cervical cancer_x000D_
WSI Analysis_x000D_
Medical data augmentation_x000D_
Swin transformer_x000D_
Image classification</t>
  </si>
  <si>
    <t>Background and Objectives Cervical cancer affects around 0.5 million women per year, resulting in over 0.3 million fatalities. Therefore, repetitive screening for cervical cancer is of utmost importance. Computer-assisted diagnosis is key for scaling up cervical cancer screening. Current recognition algorithms, however, perform poorly on the whole-slide image (WSI) analysis, fail to generalize for different staining methods and on uneven distribution for subtype imaging, and provide sub-optimal clinical-level interpretations. Herein, we developed CervixFormer—an end-to-end, multi-scale swin transformer-based adversarial ensemble learning framework to assess pre-cancerous and cancer-specific cervical malignant lesions on WSIs. Methods The proposed framework consists of (1) a self-attention generative adversarial network (SAGAN) for generating synthetic images during patch-level training to address the class imbalanced problems; (2) a multi-scale transformer-based ensemble learning method for cell identification at various stages, including atypical squamous cells (ASC) and atypical squamous cells of undetermined significance (ASCUS), which have not been demonstrated in previous studies; and (3) a fusion model for concatenating ensemble-based results and producing final outcomes. Results In the evaluation, the proposed method is first evaluated on a private dataset of 717 annotated samples from six classes, obtaining a high recall and precision of 0.940 and 0.934, respectively, in roughly 1.2 minutes. To further examine the generalizability of CervixFormer, we evaluated it on four independent, publicly available datasets, namely, the CRIC cervix, Mendeley LBC, SIPaKMeD Pap Smear, and Cervix93 Extended Depth of Field image datasets. CervixFormer obtained a fairly better performance on two-, three-, four-, and six-class classification of smear- and cell-level datasets. For clinical interpretation, we used GradCAM to visualize a coarse localization map, highlighting important regions in the WSI. Notably, CervixFormer extracts feature mostly from the cell nucleus and partially from the cytoplasm. Conclusions In comparison with the existing state-of-the-art benchmark methods, the CervixFormer outperforms them in terms of recall, accuracy, and computing time.</t>
  </si>
  <si>
    <t>J. Kim; J. Lee; J. Seo; Y. Lee; Y.-S. Na</t>
  </si>
  <si>
    <t>Disruption prediction and analysis through multimodal deep learning in KSTAR</t>
  </si>
  <si>
    <t>Fusion Engineering and Design</t>
  </si>
  <si>
    <t>https://www.sciencedirect.com/science/article/pii/S0920379624000577</t>
  </si>
  <si>
    <t>https://doi.org/10.1016/j.fusengdes.2024.114204</t>
  </si>
  <si>
    <t>Deep learning_x000D_
Multimodal learning_x000D_
Disruption_x000D_
Tokamak_x000D_
Imbalanced data distribution</t>
  </si>
  <si>
    <t>In this research, we propose a deep learning-based approach for disruption prediction in KSTAR using In-vessel Visible Inspection System (IVIS) video and 0D parameters. Here, using video data is beneficial as it contains time-varying position and shape of plasma. We demonstrate the possibility of predicting disruption with video data only as early as approximately 20 ms before disruptions, but there is a limit over 20 ms. Thus, we incorporated 0D data and developed a multimodal model to enhance the accuracy and showed the capability of predicting disruption with multimodal data as early as 95.20 ms. To analyze model capabilities, we used t-distributed Stochastic Neighbor Embedding (t-SNE) to describe the latent space of models to compare with capabilities. We analyzed vision models using Gradient-weighted Class Activation Mapping (GradCAM) and Attention Rollout to check the abilities to capture the features. We employed permutation feature importance to identify critical 0D parameters. Consequently, we demonstrated the effectiveness of our approach for disruption prediction in KSTAR.</t>
  </si>
  <si>
    <t>I. Lahsaini; M. El Habib Daho; M. A. Chikh</t>
  </si>
  <si>
    <t>Deep transfer learning based classification model for covid-19 using chest CT-scans</t>
  </si>
  <si>
    <t>122-128</t>
  </si>
  <si>
    <t>https://www.sciencedirect.com/science/article/pii/S0167865521003366</t>
  </si>
  <si>
    <t>https://doi.org/10.1016/j.patrec.2021.08.035</t>
  </si>
  <si>
    <t>Xception_x000D_
Densenet-121_x000D_
Densenet-201_x000D_
COVID-19_x000D_
Imagenet</t>
  </si>
  <si>
    <t>COVID-19 is an infectious and contagious virus. As of this writing, more than 160 million people have been infected since its emergence, including more than 125,000 in Algeria. In this work, We first collected a dataset of 4986 COVID and non-COVID images confirmed by RT-PCR tests at Tlemcen hospital in Algeria. Then we performed a transfer learning on deep learning models that got the best results on the ImageNet dataset, such as DenseNet121, DenseNet201, VGG16, VGG19, Inception Resnet-V2, and Xception, in order to conduct a comparative study. Therefore, We have proposed an explainable model based on the DenseNet201 architecture and the GradCam explanation algorithm to detect COVID-19 in chest CT images and explain the output decision. Experiments have shown promising results and proven that the introduced model can be beneficial for diagnosing and following up patients with COVID-19.</t>
  </si>
  <si>
    <t>K. W. Lai; C. Y. Chang; W. K. Loo</t>
  </si>
  <si>
    <t>Chapter 12 - Classification of COVID-19 and non-COVID-19 lung computed tomography images using machine learning</t>
  </si>
  <si>
    <t>Digital Image Enhancement and Reconstruction</t>
  </si>
  <si>
    <t>269-292</t>
  </si>
  <si>
    <t>https://www.sciencedirect.com/science/article/pii/B9780323983709000196</t>
  </si>
  <si>
    <t>https://doi.org/10.1016/B978-0-32-398370-9.00019-6</t>
  </si>
  <si>
    <t>Machine learning_x000D_
COVID-19_x000D_
computed tomography_x000D_
image processing_x000D_
classification</t>
  </si>
  <si>
    <t>A novel coronavirus disease 2019 (COVID-19) was first reported in Wuhan, China in late December 2019. In March 2020, World Health Organization (WHO) declared this sudden epidemic as a global pandemic. It is highly contagious and can cause serious lung inflammation. The typical symptoms are fever, cough, shortness of breath, headache and sore throat. Till 23 August 2021, a total of more than 211 million cases of COVID-19 have been reported to WHO worldwide, with a total of more than 4.4 million of deaths. Hence early detection is crucial to control the spread. Currently, the key diagnosis method is the reverse transcription polymerase chain reaction (RT-PCR) test using swab samples. However, it is subject to certain limitations, such as low sensitivity and shortage of kits. To address these issues, lung computed tomography (CT) scan can be the alternative as it is fast, easy, and proven to be sensitive in detecting COVID-19 cases. This study presents an automated method to differentiate the COVID-19 CT images from the Non-COVID-19 images using different convolutional neural networks (CNN) through three stages procedures. In the first stage, the dataset which consists of 746 images of COVID-19 and Non-COVID-19 was split into 3 parts for training, validation, and testing, respectively. The training and validation data were then applied with different augmentation techniques to increase the dataset, while the testing data remained with no augmentation. In stage 2, 10 different pretrained CNNs were initialized to train and classify the binary class. In stage 3, gradient descent class activation mapping (GradCAM) was used for abnormality localization. The best performance was achieved by ResNet152, ResNeXt, GoogleNet, and DenseNet201 with the highest overall accuracy of 98.51%. ResNet152, GoogleNet, and DenseNet201 had achieved a sensitivity of 100%, and specificity of 97.06%, whereas ResNeXt had achieved a sensitivity of 96.97%, and specificity of 100%.</t>
  </si>
  <si>
    <t>T. Lambert; C. Brunner; D. Kil; R. Wuyts; E. D'Hondt; G. Montaldo; A. Urban</t>
  </si>
  <si>
    <t>A deep learning classification task for brain navigation in rodents using micro-Doppler ultrasound imaging</t>
  </si>
  <si>
    <t>e27432</t>
  </si>
  <si>
    <t>https://www.sciencedirect.com/science/article/pii/S2405844024034637</t>
  </si>
  <si>
    <t>https://doi.org/10.1016/j.heliyon.2024.e27432</t>
  </si>
  <si>
    <t>Brain-wide ultrasound imaging_x000D_
Micro-Doppler imaging_x000D_
Convolutional neural networks neuro-positioning and navigation</t>
  </si>
  <si>
    <t>Positioning and navigation are essential components of neuroimaging as they improve the quality and reliability of data acquisition, leading to advances in diagnosis, treatment outcomes, and fundamental understanding of the brain. Functional ultrasound imaging is an emerging technology providing high-resolution images of the brain vasculature, allowing for the monitoring of brain activity. However, as the technology is relatively new, there is no standardized tool for inferring the position in the brain from the vascular images. In this study, we present a deep learning-based framework designed to address this challenge. Our approach uses an image classification task coupled with a regression on the resulting probabilities to determine the position of a single image. To evaluate its performance, we conducted experiments using a dataset of 51 rat brain scans. The training positions were extracted at intervals of 375 μm, resulting in a positioning error of 176 μm. Further GradCAM analysis revealed that the predictions were primarily driven by subcortical vascular structures. Finally, we assessed the robustness of our method in a cortical stroke where the brain vasculature is severely impaired. Remarkably, no specific increase in the number of misclassifications was observed, confirming the method's reliability in challenging conditions. Overall, our framework provides accurate and flexible positioning, not relying on a pre-registered reference but rather on conserved vascular patterns.</t>
  </si>
  <si>
    <t>Y. Liu; J. Su; Z. Zheng; D. Liu; Y. Song; Y. Fang; P. Yang; B. Su</t>
  </si>
  <si>
    <t>GLDCNet: A novel convolutional neural network for grapevine leafroll disease recognition using UAV-based imagery</t>
  </si>
  <si>
    <t>https://www.sciencedirect.com/science/article/pii/S0168169924000590</t>
  </si>
  <si>
    <t>https://doi.org/10.1016/j.compag.2024.108668</t>
  </si>
  <si>
    <t>Grapevine leafroll disease_x000D_
UAV_x000D_
Deep learning_x000D_
Multispectral_x000D_
Vegetation index_x000D_
Spatial resolution</t>
  </si>
  <si>
    <t>High-throughput phenotyping of grapevine leafroll disease (GLD) at the canopy scale helps develop fast and effective management in viticulture. However, detecting GLD efficiently in a vineyard is challenging owing to the limited adaptation of prior art. Therefore, we propose a novel convolutional neural network called GLDCNet to improve GLD recognition using unmanned aerial vehicle–based imagery. The effectiveness of the GLDCNet is attributed to the four new network designs used and is validated through ablation experiments. The GLDCNet achieves a classification accuracy of 99.57% using the RGB dataset and obtains more efficient and accurate results than nine other state-of-the-art methods. Furthermore, we systematically evaluated the impacts of image spatial resolution and vegetation indexes on the classification performance of the model. Experimental results suggest that improving image spatial resolution is more cost-effective than enhancing multispectral information for improving GLD recognition. Our proposed method offers a rapid, scalable, and accurate diagnostic protocol for detecting GLD in vineyards.</t>
  </si>
  <si>
    <t>H. W. Loh; C. P. Ooi; S. Seoni; P. D. Barua; F. Molinari; U. R. Acharya</t>
  </si>
  <si>
    <t>Application of explainable artificial intelligence for healthcare: A systematic review of the last decade (2011–2022)</t>
  </si>
  <si>
    <t>https://www.sciencedirect.com/science/article/pii/S0169260722005429</t>
  </si>
  <si>
    <t>https://doi.org/10.1016/j.cmpb.2022.107161</t>
  </si>
  <si>
    <t>Explainable artificial intelligence (XAI)_x000D_
Deep learning_x000D_
Machine learning_x000D_
PRISMA_x000D_
SHAP_x000D_
LIME_x000D_
GradCAM_x000D_
LRP_x000D_
EBM_x000D_
CBR_x000D_
Rule-based_x000D_
Expert system_x000D_
Saliency map_x000D_
Attention mechanism_x000D_
Healthcare</t>
  </si>
  <si>
    <t>Background and objectives Artificial intelligence (AI) has branched out to various applications in healthcare, such as health services management, predictive medicine, clinical decision-making, and patient data and diagnostics. Although AI models have achieved human-like performance, their use is still limited because they are seen as a black box. This lack of trust remains the main reason for their low use in practice, especially in healthcare. Hence, explainable artificial intelligence (XAI) has been introduced as a technique that can provide confidence in the model's prediction by explaining how the prediction is derived, thereby encouraging the use of AI systems in healthcare. The primary goal of this review is to provide areas of healthcare that require more attention from the XAI research community. Methods Multiple journal databases were thoroughly searched using PRISMA guidelines 2020. Studies that do not appear in Q1 journals, which are highly credible, were excluded. Results In this review, we surveyed 99 Q1 articles covering the following XAI techniques: SHAP, LIME, GradCAM, LRP, Fuzzy classifier, EBM, CBR, rule-based systems, and others. Conclusion We discovered that detecting abnormalities in 1D biosignals and identifying key text in clinical notes are areas that require more attention from the XAI research community. We hope this is review will encourage the development of a holistic cloud system for a smart city.</t>
  </si>
  <si>
    <t>M. Manso Jimeno; K. S. Ravi; Z. Jin; D. Oyekunle; G. Ogbole; S. Geethanath</t>
  </si>
  <si>
    <t>ArtifactID: Identifying artifacts in low-field MRI of the brain using deep learning</t>
  </si>
  <si>
    <t>Magnetic Resonance Imaging</t>
  </si>
  <si>
    <t>42-48</t>
  </si>
  <si>
    <t>https://www.sciencedirect.com/science/article/pii/S0730725X22000273</t>
  </si>
  <si>
    <t>https://doi.org/10.1016/j.mri.2022.02.002</t>
  </si>
  <si>
    <t>Wrap-around_x000D_
Gibbs ringing_x000D_
Explainable artificial intelligence_x000D_
Automated quality assurance</t>
  </si>
  <si>
    <t>Low-field MR scanners are more accessible in resource-constrained settings where skilled personnel are scarce. Images acquired in such scenarios are prone to artifacts such as wrap-around and Gibbs ringing. Such artifacts negatively affect the diagnostic quality and may be confused with pathology or reduce the region of interest visibility. As a first step solution, ArtifactID identifies wrap-around and Gibbs ringing in low-field brain MRI. We utilized two datasets: 179 T1-weighted pathological brain images from a 0.36 T scanner and 581 publicly available T1-weighted brain images. Individual binary classification models were trained to identify through-plane wrap-around, in-plane wrap-around, and Gibbs ringing. Visual explanations obtained via the GradCAM method helped develop trust in the wrap-around model. The mean precision and recall metrics across the four implemented models were 97.6% and 92.83% respectively. Agreement analysis of the models and the radiologists' labels returned Cohen's kappa values of 0.768 ± 0.062, 1.00 ± 0.000, 0.89 ± 0.085, and 0.878 ± 0.103 for the through-plane wrap-around, in-plane wrap-around, and Gibbs ringing models, respectively.</t>
  </si>
  <si>
    <t>A. Mohanty; A. Sutherland; M. Bezbradica; H. Javidnia</t>
  </si>
  <si>
    <t>Rhi3DGen: Analyzing Rhinophyma using 3D face models and synthetic data</t>
  </si>
  <si>
    <t>Intelligence-Based Medicine</t>
  </si>
  <si>
    <t>https://www.sciencedirect.com/science/article/pii/S2666521223000388</t>
  </si>
  <si>
    <t>https://doi.org/10.1016/j.ibmed.2023.100124</t>
  </si>
  <si>
    <t>Synthetic data generation_x000D_
3D modeling_x000D_
Skin disease_x000D_
Computational physiology_x000D_
Computational anatomy_x000D_
Classification</t>
  </si>
  <si>
    <t>Within the realm of medical diagnosis, deep learning techniques have revolutionized the way diseases are identified and studied. However, a persistent challenge has been data scarcity for many disease categories. One primary reason for this is issues related to patient privacy and copyright constraints on medical datasets. To address this, our research explores the use of synthetic data generation, focusing on Rhinophyma, a subclass of Rosacea. Our novel approach uses 3D parametric modeling to create synthetic images of Rhinophyma, addressing the data scarcity problem. Through this method, we generated 20,000 images representing 2000 distinct anatomical deformations of Rhinophyma. This research not only showcases the potential of using 3D parametric modeling for Rhinophyma but hints at its applicability for other diseases with anatomical abnormalities. With just 30 % of this synthetic dataset, we achieved a remarkable 95 % recall in classifying 220 real-world Rhinophyma images. The performance of our classification model is further validated using GradCAM visualisation. Our findings underscore the potential of such techniques to propel medical research and develop superior deep learning diagnostic models when only limited real-world images are available.</t>
  </si>
  <si>
    <t>T. Nayak; K. Chadaga; N. Sampathila; H. Mayrose; N. Gokulkrishnan; M. Bairy G; S. Prabhu; S. K. S; S. Umakanth</t>
  </si>
  <si>
    <t>Deep learning based detection of monkeypox virus using skin lesion images</t>
  </si>
  <si>
    <t>Medicine in Novel Technology and Devices</t>
  </si>
  <si>
    <t>https://www.sciencedirect.com/science/article/pii/S2590093523000383</t>
  </si>
  <si>
    <t>https://doi.org/10.1016/j.medntd.2023.100243</t>
  </si>
  <si>
    <t>Deep learning_x000D_
Disease diagnosis_x000D_
Image processing_x000D_
Monkeypox virus_x000D_
Machine learning_x000D_
Transfer learning</t>
  </si>
  <si>
    <t>As we set into the second half of 2022, the world is still recovering from the two-year COVID-19 pandemic. However, over the past three months, the outbreak of the Monkeypox Virus (MPV) has led to fifty-two thousand confirmed cases and over one hundred deaths. This caused the World Health Organisation to declare the outbreak a Public Health Emergency of International Concern (PHEIC). If this outbreak worsens, we could be looking at the Monkeypox virus causing the next global pandemic. As Monkeypox affects the human skin, the symptoms can be captured with regular imaging. Large samples of these images can be used as a training dataset for machine learning-based detection tools. Using a regular camera to capture the skin image of the infected person and running it against computer vision models is beneficial. In this research, we use deep learning to diagnose monkeypox from skin lesion images. Using a publicly available dataset, we tested the dataset on five pre-trained deep neural networks: GoogLeNet, Places365-GoogLeNet, SqueezeNet, AlexNet and ResNet-18. Hyperparameter was done to choose the best parameters. Performance metrics such as accuracy, precision, recall, f1-score and AUC were considered. Among the above models, ResNet18 was able to obtain the highest accuracy of 99.49%. The modified models obtained validation accuracies above 95%. The results prove that deep learning models such as the proposed model based on ResNet-18 can be deployed and can be crucial in battling the monkeypox virus. Since the used networks are optimized for efficiency, they can be used on performance limited devices such as smartphones with cameras. The addition of explainable artificial intelligence techniques LIME and GradCAM enables visual interpretation of the prediction made, helping health professionals using the model.</t>
  </si>
  <si>
    <t>1915-1925</t>
  </si>
  <si>
    <t>COVID-19_x000D_
Explainable AI_x000D_
Segmentation_x000D_
Convolutional Neural networks_x000D_
Class Activavtion Mapping_x000D_
Gradient weighted Class Activation Mapping (Grad-CAM)_x000D_
Guided Grad-CAM</t>
  </si>
  <si>
    <t>The coronavirus has caused havoc on billions of people worldwide. The Reverse Transcription Polymerase Chain Reaction(RT-PCR) test is widely accepted as a standard diagnostic tool for detecting infection, however, the severity of infection can't be measured accurately with RT-PCR results. Chest CT Scans of infected patients can manifest the presence of lesions with high sensitivity. During the pandemic, there is a dearth of competent doctors to examine chest CT images. Therefore, a Guided Gradcam based Explainable Classification and Segmentation system (GGECS) which is a real-time explainable classification and lesion identification decision support system is proposed in this work. The classification model used in the proposed GGECS system is inspired by Res2Net. Explainable AI techniques like GradCam and Guided GradCam are used to demystify Convolutional Neural Networks (CNNs). These explainable systems can assist in localizing the regions in the CT scan that contribute significantly to the system's prediction. The segmentation model can further reliably localize infected regions. The segmentation model is a fusion between the VGG-16 and the classification network. The proposed classification model in GGECS obtains an overall accuracy of 98.51 % and the segmentation model achieves an IoU score of 0.595.</t>
  </si>
  <si>
    <t>P. Priyadarshini; P. Kanungo; T. Kar</t>
  </si>
  <si>
    <t>Multigrade Brain tumor classification in MRI images using Fine tuned EfficientNet</t>
  </si>
  <si>
    <t>e-Prime - Advances in Electrical Engineering, Electronics and Energy</t>
  </si>
  <si>
    <t>https://www.sciencedirect.com/science/article/pii/S2772671124000809</t>
  </si>
  <si>
    <t>https://doi.org/10.1016/j.prime.2024.100498</t>
  </si>
  <si>
    <t>Convolutional Neural Network_x000D_
Grad-Cam_x000D_
Deep Learning_x000D_
Transfer learning</t>
  </si>
  <si>
    <t>Medical imaging plays a vital role in detecting and treating brain tumors. Malignant or nonmalignant brain tissue’s abnormal growth causes long-term brain damage. It is crucial to detect and properly categorize the kind of brain tumor. Specialists normally use MRI to create high-contrast grayscale brain images to segment them. Convolutional neural networks (CNN) driven by deep learning (DL) have transformed computer-assisted testing systems by producing good results in a wide range of medical imaging analytics applications, including tumor diagnosis in the brain. The paper introduces a lightweight fine-tuned Convolutional Neural Network EfficientNet ’ECNN’ to detect brain tumors. In this study, we provide a transfer learning-based measurement strategy for grouping cerebrum growths in three distinct datasets with different classifications, such as meningioma, glioma, and pituitary growth, using fine-tuned EfficientNets. The findings of this research rely on Efficient Nets to classify brain tumors in three different types of datasets utilizing a fine-tuned transfer learning mechanism. With EfficientNetV2S as the system’s foundation, our proposed way of fine-tunned pre-trained EfficientNetV2S model outperformed for all datasets over state of the art methods. The effectiveness of the suggested model has been assessed using performance metrics, and outcomes were compared to those produced using state-of-the-art approaches. The average test accuracy, recall, precision, and sensitivity score are 98.48%, 98%, 98.5%, and 98.71%, respectively.</t>
  </si>
  <si>
    <t>Ultrasonics</t>
  </si>
  <si>
    <t>https://doi.org/10.1016/j.ultras.2023.107017</t>
  </si>
  <si>
    <t>PreLUNet_x000D_
Evidential Dempster–Shafer CNN_x000D_
Swin Transformer_x000D_
Histogram Equalization_x000D_
Fuzzy Logic Contrast</t>
  </si>
  <si>
    <t>Ultrasound imaging is a valuable tool for assessing the development of the fetal during pregnancy. However, interpreting ultrasound images manually can be time-consuming and subject to variability. Automated image categorization using machine learning algorithms can streamline the interpretation process by identifying stages of fetal development present in ultrasound images. In particular, deep learning architectures have shown promise in medical image analysis, enabling accurate automated diagnosis. The objective of this research is to identify fetal planes from ultrasound images with higher precision. To achieve this, we trained several convolutional neural network (CNN) architectures on a dataset of 12400 images. Our study focuses on the impact of enhanced image quality by adopting Histogram Equalization and Fuzzy Logic-based contrast enhancement on fetal plane detection using the Evidential Dempster–Shafer Based CNN Architecture, PReLU-Net, SqueezeNET, and Swin Transformer. The results of each classifier were noteworthy, with PreLUNet achieving an accuracy of 91.03%, SqueezeNET reaching 91.03% accuracy, Swin Transformer reaching an accuracy of 88.90%, and the Evidential classifier achieving an accuracy of 83.54%. We evaluated the results in terms of both training and testing accuracies. Additionally, we used LIME and GradCam to examine the decision-making process of the classifiers, providing explainability for their outputs. Our findings demonstrate the potential for automated image categorization in large-scale retrospective assessments of fetal development using ultrasound imaging.</t>
  </si>
  <si>
    <t>SARS-CoV-2_x000D_
COVID-19_x000D_
Deep learning_x000D_
Biomedical_x000D_
Medical imaging</t>
  </si>
  <si>
    <t>The high transmission rate of COVID-19 and the lack of quick, robust, and intelligent systems for its detection have become a point of concern for the public, Government, and health experts worldwide. The study of radiological images is one of the fastest ways to comprehend the infectious spread and diagnose a patient. However, it is difficult to differentiate COVID-19 from other pneumonic infections. The purpose of this research is to provide an automatic, precise, reliable, robust, and intelligent assisting system ‘Covid Scanner’ for mass screening of COVID-19, Non-COVID Viral Pneumonia, and Bacterial Pneumonia from healthy chest radiographs. To train the proposed system, the authors of this research prepared novel a dataset called, “COVID-Pneumonia CXR”. The system is a coherent integration of bone suppression, lung segmentation, and the proposed classifier, ‘EXP-Net’. The system reported an AUC of 96.58% on the validation dataset and 96.48% on the testing dataset comprising chest radiographs. The results from the ablation study prove the efficacy and generalizability of the proposed integrated pipeline of models. To prove the system's reliability, the feature heatmaps visualized in the lung region were validated by radiology experts. Moreover, a comparison with the state-of-the-art models and existing approaches shows that the proposed system finds clearer demarcation between the highly similar chest radiographs of COVID-19 and Non-COVID viral pneumonia. The copyright of “Covid Scanner” is protected with registration number SW-13625/2020. The code for the models used in this research is publicly available at: https://github.com/Ankit-Misra/multi_modal_covid_detection/.</t>
  </si>
  <si>
    <t>620-628</t>
  </si>
  <si>
    <t>https://www.sciencedirect.com/science/article/pii/S1877050922002691</t>
  </si>
  <si>
    <t>https://doi.org/10.1016/j.procs.2022.01.260</t>
  </si>
  <si>
    <t>GradCAM_x000D_
Interpretability_x000D_
CAM fostering</t>
  </si>
  <si>
    <t>Deep classification networks play an important role as backbone networks in industrial AI applications. These applications are often cost or safety critical; explainability of the AI results is a highly demanded feature. We introduce CAM fostering, a method to improve the explainability of classification nets based on local layers such as convolutional or pooling layers. Several CAM interpretability measures are defined and used as additional loss terms. Even though the method requires second-order derivatives, it is demonstrated that deep nets can be trained on large datasets without frozen parameters. The training parameters can be chosen such that the accuracy degradation remains decent in favor of the CAM interpretability improvement. We conclude by comparing the results of different training parameter configurations.</t>
  </si>
  <si>
    <t>Explainable deep learning_x000D_
Carotid artery_x000D_
Classification_x000D_
VGG16_x000D_
ResNet-50_x000D_
GoogLeNet_x000D_
XceptionNet_x000D_
SqueezeNet</t>
  </si>
  <si>
    <t>Objective The incidence of cardiovascular diseases (CVD) is rising rapidly worldwide. Some forms of CVD, such as stroke and heart attack, are more common among patients with certain conditions. Atherosclerosis development is a major factor underlying cardiovascular events, such as heart attack and stroke, and its early detection may prevent such events. Ultrasound imaging of carotid arteries is a useful method for diagnosis of atherosclerotic plaques; however, an automated method to classify atherosclerotic plaques for evaluation of early-stage CVD is needed. Here, we propose an automated method for classification of high-risk atherosclerotic plaque ultrasound images. Methods Five deep learning (DL) models (VGG16, ResNet-50, GoogLeNet, XceptionNet, and SqueezeNet) were used for automated classification and the results compared with those of a machine learning (ML)-based technique, involving extraction of 23 texture features from ultrasound images and classification using a Support Vector Machine classifier. To enhance model interpretability, output gradient-weighted convolutional activation maps (gradCAMs) were generated and overlayed on original images. Results A series of indices, including accuracy, sensitivity, specificity, F1-score, Cohen-kappa index, and area under the curve values, were calculated to evaluate model performance. GradCAM output images allowed visualization of the most significant ultrasound image regions. Conclusion Of models tested, the GoogLeNet model yielded the highest accuracy (98.20%). ML models are also suitable for applications requiring low computational resource, as their accuracy (96.85%) is similar to that of DL models. Further, DL models can be more completely automated than ML models.</t>
  </si>
  <si>
    <t>B. Tasci; I. Tasci</t>
  </si>
  <si>
    <t>Deep feature extraction based brain image classification model using preprocessed images: PDRNet</t>
  </si>
  <si>
    <t>https://www.sciencedirect.com/science/article/pii/S1746809422004475</t>
  </si>
  <si>
    <t>https://doi.org/10.1016/j.bspc.2022.103948</t>
  </si>
  <si>
    <t>Hybrid deep feature engineering_x000D_
Transfer learning_x000D_
Ischemic acute infarction detection_x000D_
Diffusion MRI</t>
  </si>
  <si>
    <t>Background Stroke is a neurological condition that occurs when cerebral vessels become blocked and have reduced blood flow. This research proposes a hybrid deep feature-based feature engineering model to achieve high classification performance. Materials and method In this research, three brain magnetic resonance image datasets were used to test the proposed model. A deep feature engineering model has been proposed to deploy the raw MRI and four preprocessing algorithms: GradCAM, histogram-matching, canny edge detection, and Locally Interpretable Model-Agnostic Explanations(LIME). The deep features have been extracted using Resnet101 and DenseNet201 pre-trained convolutional neural networks (CNN). Thus, this model is titled preprocessing based DenseNet and ResNet (PDRNet). The iterative neighborhood component analysis (INCA) function selects the most suitable features. These features are trained and validated using support vector machine (SVM) classifiers. Iterative Majority Voting (IMV) has been applied to the results obtained from the SVM. The best classification result has been selected by deploying IMV. Results Our proposed PDRNet achieved a classification accuracy of 97.56% for Dataset 1, 99.32% for Dataset 2, and 99.16% for Dataset 3. The success of the presented model is demonstrated using these calculated accuracies. Conclusions Our proposed hybrid deep feature model was tested on two datasets with two and four classes. It has also been compared to other state-of-art deep learning-based models, and our model performs better. These results and findings clearly demonstrate the success of the introduced hybrid deep feature engineering method.</t>
  </si>
  <si>
    <t>Y. Xie; Z. Zhang; S. Chen; C. Qiu</t>
  </si>
  <si>
    <t>Detect, Grow, Seg: A weakly supervision method for medical image segmentation based on bounding box</t>
  </si>
  <si>
    <t>https://www.sciencedirect.com/science/article/pii/S1746809423005918</t>
  </si>
  <si>
    <t>https://doi.org/10.1016/j.bspc.2023.105158</t>
  </si>
  <si>
    <t>Weakly supervised medical image segmentation_x000D_
GradCAM_x000D_
Adaptive regional growth_x000D_
UNet_x000D_
YoloV5</t>
  </si>
  <si>
    <t>Weakly supervised semantic segmentation based on bounding box has been fully developed in natural scenes, but in medical image scenes it often faces the difficulties of blurred edges, imaging noise, and mutual interference between multiple organs, which makes the methods suitable in natural scenes tend to show poor performance in medical images. In this paper, we propose a weakly supervised segmentation method for medical images based on Detection, Growth, and Segmentation (DGS). For weak labels in the form of bounding boxes, the detector YOLOV5 and GradCAM are introduced to obtain the heatmap representation, while the additional unlabeled data can be also utilized through the detector. The thresholded heatmap is used to generate seed points for adaptive regional growth so that better pseudo labels are obtained. Finally, the pseudo labels are used for supervised training on UNet to obtain end to end segmentation. Sufficient experiments show that, compared with other methods, the pseudo label generation and segmentation model formed by our method achieve the best performance, while the use of unlabeled data by the detector brings significant improvement for segmentation in low-label scenarios, which greatly reduce the time and demand of labeling.</t>
  </si>
  <si>
    <t>Y. Yang; C. Ye; T. Ma</t>
  </si>
  <si>
    <t>A deep connectome learning network using graph convolution for connectome-disease association study</t>
  </si>
  <si>
    <t>91-104</t>
  </si>
  <si>
    <t>https://www.sciencedirect.com/science/article/pii/S0893608023002113</t>
  </si>
  <si>
    <t>https://doi.org/10.1016/j.neunet.2023.04.025</t>
  </si>
  <si>
    <t>Deep connectome learning_x000D_
Distance-based connectome network_x000D_
Connectome-wide association study_x000D_
Graph neural network</t>
  </si>
  <si>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t>
  </si>
  <si>
    <t>Y. Yu; Y. Zhang; Z. Cheng; Z. Song; C. Tang</t>
  </si>
  <si>
    <t>MCA: Multidimensional collaborative attention in deep convolutional neural networks for image recognition</t>
  </si>
  <si>
    <t>https://www.sciencedirect.com/science/article/pii/S0952197623012630</t>
  </si>
  <si>
    <t>https://doi.org/10.1016/j.engappai.2023.107079</t>
  </si>
  <si>
    <t>Multidimensional collaborative attention_x000D_
Attention mechanisms_x000D_
Cross-dimension feature responses_x000D_
Local feature interactions</t>
  </si>
  <si>
    <t>A broad range of prior research has demonstrated that attention mechanisms offer great potential in advancing the performance of deep convolutional neural networks (CNNs). However, most existing approaches either ignore modeling attention in both channel and spatial dimensions or introduce higher model complexity and heavier computational burden. To alleviate this dilemma, in this paper, we propose a lightweight and efficient multidimensional collaborative attention, MCA, a novel method for simultaneously inferring attention in channel, height, and width dimensions with almost free additional overhead by using a three-branch architecture. For the essential components of MCA, we not only develop an adaptive combination mechanism for merging dual cross-dimension feature responses in squeeze transformation, enhancing the informativeness and discriminability of feature descriptors but also design a gating mechanism in excitation transformation that adaptively determines the coverage of interaction to capture local feature interactions, overcoming the paradox of performance and computational overhead trade-off. Our MCA is simple yet general and can be easily plugged into various classic CNNs as a plug-and-play module and trained along with the vanilla networks in an end-to-end manner. Extensive experimental results for image recognition on CIFAR and ImageNet-1K datasets demonstrate the superiority of our method over other state-of-the-art (SOTA) counterparts. In addition, we also provide insight into the practical benefits of MCA by visually inspecting the GradCAM++ visualization results. The code is available at https://github.com/ndsclark/MCANet.</t>
  </si>
  <si>
    <t>N. Ahmad; J. H. Shah; M. A. Khan; J. Baili; G. J. Ansari; U. Tariq; Y. J. Kim; J.-H. Cha</t>
  </si>
  <si>
    <t>A novel framework of multiclass skin lesion recognition from dermoscopic images using deep learning and explainable AI</t>
  </si>
  <si>
    <t>FRONTIERS IN ONCOLOGY</t>
  </si>
  <si>
    <t>10.3389/fonc.2023.1151257</t>
  </si>
  <si>
    <t>Skin cancer is a serious disease that affects people all over the world. Melanoma is an aggressive form of skin cancer, and early detection can significantly reduce human mortality. In the United States, approximately 97,610 new cases of melanoma will be diagnosed in 2023. However, challenges such as lesion irregularities, low-contrast lesions, intraclass color similarity, redundant features, and imbalanced datasets make improved recognition accuracy using computerized techniques extremely difficult. This work presented a new framework for skin lesion recognition using data augmentation, deep learning, and explainable artificial intelligence. In the proposed framework, data augmentation is performed at the initial step to increase the dataset size, and then two pretrained deep learning models are employed. Both models have been fine-tuned and trained using deep transfer learning. Both models (Xception and ShuffleNet) utilize the global average pooling layer for deep feature extraction. The analysis of this step shows that some important information is missing; therefore, we performed the fusion. After the fusion process, the computational time was increased; therefore, we developed an improved Butterfly Optimization Algorithm. Using this algorithm, only the best features are selected and classified using machine learning classifiers. In addition, a GradCAM-based visualization is performed to analyze the important region in the image. Two publicly available datasets-ISIC2018 and HAM10000-have been utilized and obtained improved accuracy of 99.3% and 91.5%, respectively. Comparing the proposed framework accuracy with state-of-the-art methods reveals improved and less computational time.</t>
  </si>
  <si>
    <t>NEURAL COMPUTING &amp; APPLICATIONS</t>
  </si>
  <si>
    <t>H. R. H. Al-Absi; M. T. Islam; M. A. Refaee; M. E. H. Chowdhury; T. Alam</t>
  </si>
  <si>
    <t>Cardiovascular Disease Diagnosis from DXA Scan and Retinal Images Using Deep Learning</t>
  </si>
  <si>
    <t>10.3390/s22124310</t>
  </si>
  <si>
    <t>Cardiovascular diseases (CVD) are the leading cause of death worldwide. People affected by CVDs may go undiagnosed until the occurrence of a serious heart failure event such as stroke, heart attack, and myocardial infraction. In Qatar, there is a lack of studies focusing on CVD diagnosis based on non-invasive methods such as retinal image or dual-energy X-ray absorptiometry (DXA). In this study, we aimed at diagnosing CVD using a novel approach integrating information from retinal images and DXA data. We considered an adult Qatari cohort of 500 participants from Qatar Biobank (QBB) with an equal number of participants from the CVD and the control groups. We designed a case-control study with a novel multi-modal (combining data from multiple modalities-DXA and retinal images)-to propose a deep learning (DL)-based technique to distinguish the CVD group from the control group. Uni-modal models based on retinal images and DXA data achieved 75.6% and 77.4% accuracy, respectively. The multi-modal model showed an improved accuracy of 78.3% in classifying CVD group and the control group. We used gradient class activation map (GradCAM) to highlight the areas of interest in the retinal images that influenced the decisions of the proposed DL model most. It was observed that the model focused mostly on the centre of the retinal images where signs of CVD such as hemorrhages were present. This indicates that our model can identify and make use of certain prognosis markers for hypertension and ischemic heart disease. From DXA data, we found higher values for bone mineral density, fat content, muscle mass and bone area across majority of the body parts in CVD group compared to the control group indicating better bone health in the Qatari CVD cohort. This seminal method based on DXA scans and retinal images demonstrate major potentials for the early detection of CVD in a fast and relatively non-invasive manner.</t>
  </si>
  <si>
    <t>S. Ali; T. P. T. Abdullah; T. P. T. Armand; A. Athar; A. Hussain; M. Ali; M. Yaseen; M.-I. Joo; H.-C. Kim</t>
  </si>
  <si>
    <t>Digitization and automation have always had an immense impact on healthcare. It embraces every new and advanced technology. Recently the world has witnessed the prominence of the metaverse which is an emerging technology in digital space. The metaverse has huge potential to provide a plethora of health services seamlessly to patients and medical professionals with an immersive experience. This paper proposes the amalgamation of artificial intelligence and blockchain in the metaverse to provide better, faster, and more secure healthcare facilities in digital space with a realistic experience. Our proposed architecture can be summarized as follows. It consists of three environments, namely the doctor's environment, the patient's environment, and the metaverse environment. The doctors and patients interact in a metaverse environment assisted by blockchain technology which ensures the safety, security, and privacy of data. The metaverse environment is the main part of our proposed architecture. The doctors, patients, and nurses enter this environment by registering on the blockchain and they are represented by avatars in the metaverse environment. All the consultation activities between the doctor and the patient will be recorded and the data, i.e., images, speech, text, videos, clinical data, etc., will be gathered, transferred, and stored on the blockchain. These data are used for disease prediction and diagnosis by explainable artificial intelligence (XAI) models. The GradCAM and LIME approaches of XAI provide logical reasoning for the prediction of diseases and ensure trust, explainability, interpretability, and transparency regarding the diagnosis and prediction of diseases. Blockchain technology provides data security for patients while enabling transparency, traceability, and immutability regarding their data. These features of blockchain ensure trust among the patients regarding their data. Consequently, this proposed architecture ensures transparency and trust regarding both the diagnosis of diseases and the data security of the patient. We also explored the building block technologies of the metaverse. Furthermore, we also investigated the advantages and challenges of a metaverse in healthcare.</t>
  </si>
  <si>
    <t>INFORMATION PROCESSING &amp; MANAGEMENT</t>
  </si>
  <si>
    <t>10.1016/j.ipm.2022.103225</t>
  </si>
  <si>
    <t>Deep Learning has reached human-level performance in several medical tasks including clas-sification of histopathological images. Continuous effort has been made at finding effective strategies to interpret these types of models, among them saliency maps, which depict the weights of the pixels on the classification as an heatmap of intensity values, have been by far the most used for image classification. However, there is a lack of tools for the systematic evaluation of saliency maps, and existing works introduce non-natural noise such as random or uniform values. To address this issue, we propose an approach to evaluate the faithfulness of the saliency maps by introducing natural perturbations in the image, based on oppose-class substitution, and studying their impact on evaluation metrics adapted from saliency models. We validate the proposed approach on a breast cancer metastases detection dataset PatchCamelyon with 327,680 patches of histopathological images of sentinel lymph node sections. Results show that GradCAM, Guided-GradCAM and gradient-based saliency map methods are sensitive to natural perturbations and correlate to the presence of tumor evidence in the image. Overall, this approach proves to be a solution for the validation of saliency map methods without introducing confounding variables and shows potential for application on other medical imaging tasks.</t>
  </si>
  <si>
    <t>Conference Paper</t>
  </si>
  <si>
    <t>A. Arias-Duart; F. Pares; D. Garcia-Gasulla; V. Gimenez-Abalos; Ieee</t>
  </si>
  <si>
    <t>2022 IEEE INTERNATIONAL CONFERENCE ON FUZZY SYSTEMS (FUZZ-IEEE)</t>
  </si>
  <si>
    <t>AI explainability improves the transparency and trustworthiness of models. However, in the domain of images, where deep learning has succeeded the most, explainability is still poorly assessed. In the field of image recognition many feature attribution methods have been proposed with the purpose of explaining a model's behavior using visual cues. However, no metrics have been established so far to assess and select these methods objectively. In this paper we propose a consistent evaluation score for feature attribution methods the Focus designed to quantify their coherency to the task. While most previous work adds out-of-distribution noise to samples, we introduce a methodology to add noise from within the distribution. This is done through mosaics of instances from different classes, and the explanations these generate. On those, we compute a visual pseudo-precision metric, Focus. First, we show the robustness of the approach through a set of randomization experiments. Then we use Focus to compare six popular explainability techniques across several CNN architectures and classification datasets. Our results find some methods to be consistently reliable (LRP, GradCAM), while others produce class-agnostic explanations (SmoothGrad, IG). Finally we introduce another application of Focus, using it for the identification and characterization of biases found in models. This empowers bias-management tools, in another small step towards trustworthy AI.</t>
  </si>
  <si>
    <t>Z. Aslan</t>
  </si>
  <si>
    <t>Deep Convolutional Neural Network-Based Framework in the Automatic Diagnosis of Migraine</t>
  </si>
  <si>
    <t>CIRCUITS SYSTEMS AND SIGNAL PROCESSING</t>
  </si>
  <si>
    <t>3054-3071</t>
  </si>
  <si>
    <t>10.1007/s00034-022-02265-3</t>
  </si>
  <si>
    <t>This study presents a computer-aided diagnosis (CAD) system that uses deep learning to diagnose migraine from electroencephalogram (EEG) signals. The proposed method converts EEG signals into scalogram images using the continuous wavelet transform method. Afterward, these scalogram images were given as input to the proposed convolutional neural network (CNN) deep learning network. With the proposed CNN deep learning model, 100% classification success has been achieved with very high accuracy compared to other related literature studies. Comparative analyses of the classification success of the proposed method and the classification performances obtained using state-of-the-art CNN models (VGG16, DenseNet121, ResNET101, and Xception) are presented. It has been observed that this study is superior to state-of-the-art CNN deep learning models compared with low computational complexity, simple network structure (less depth), and high classification performance. In addition, interpretable Gradient-weighted Class Activation Mapping (GradCAM) images were obtained to support the specialist in the diagnosis of migraine. In the study, it is revealed that there is a relationship between EEG recordings and migraine disease in terms of frequency components. When interpretable GradCAM images are examined, it is seen that mid- and high-frequency components are essential in distinguishing between migraine and healthy individuals. Considering the mentioned aspects, it is seen that this study has the potential to be used as a CAD system that can contribute to the expert opinion in distinguishing migraine patients and healthy controls.</t>
  </si>
  <si>
    <t>R. Avram; J. P. Barrios; S. Abreau; C. Y. Goh; Z. Ahmed; K. Chung; D. Y. So; J. E. Olgin; G. H. Tison</t>
  </si>
  <si>
    <t>Automated Assessment of Cardiac Systolic Function From Coronary Angiograms With Video-Based Artificial Intelligence Algorithms</t>
  </si>
  <si>
    <t>JAMA CARDIOLOGY</t>
  </si>
  <si>
    <t>586-594</t>
  </si>
  <si>
    <t>10.1001/jamacardio.2023.0968</t>
  </si>
  <si>
    <t>Importance Understanding left ventricular ejection fraction (LVEF) during coronary angiography can assist in disease management.Objective To develop an automated approach to predict LVEF from left coronary angiograms.Design, Setting, and Participants This was a cross-sectional study with external validation using patient data from December 12, 2012, to December 31, 2019, from the University of California, San Francisco (UCSF). Data were randomly split into training, development, and test data sets. External validation data were obtained from the University of Ottawa Heart Institute. Included in the analysis were all patients 18 years or older who received a coronary angiogram and transthoracic echocardiogram (TTE) within 3 months before or 1 month after the angiogram.Exposure A video-based deep neural network (DNN) called CathEF was used to discriminate (binary) reduced LVEF (&lt;= 40%) and to predict (continuous) LVEF percentage from standard angiogram videos of the left coronary artery. Guided class-discriminative gradient class activation mapping (GradCAM) was applied to visualize pixels in angiograms that contributed most to DNN LVEF prediction.Results A total of 4042 adult angiograms with corresponding TTE LVEF from 3679 UCSF patients were included in the analysis. Mean (SD) patient age was 64.3 (13.3) years, and 2212 patients were male (65%). In the UCSF test data set (n = 813), the video-based DNN discriminated (binary) reduced LVEF (= 40%) with an area under the receiver operating characteristic curve (AUROC) of 0.911 (95% CI, 0.887-0.934); diagnostic odds ratio for reduced LVEF was 22.7 (95% CI, 14.0-37.0). DNN-predicted continuous LVEF had a mean absolute error (MAE) of 8.5% (95% CI, 8.1%-9.0%) compared with TTE LVEF. Although DNN-predicted continuous LVEF differed 5% or less compared with TTE LVEF in 38.0% (309 of 813) of test data set studies, differences greater than 15% were observed in 15.2% (124 of 813). In external validation (n = 776), video-based DNN discriminated (binary) reduced LVEF (= 40%) with an AUROC of 0.906 (95% CI, 0.881-0.931), and DNN-predicted continuous LVEF had an MAE of 7.0% (95% CI, 6.6%-7.4%). Video-based DNN tended to overestimate low LVEFs and underestimate high LVEFs. Video-based DNN performance was consistent across sex, body mass index, low estimated glomerular filtration rate (= 45), presence of acute coronary syndromes, obstructive coronary artery disease, and left ventricular hypertrophy.Conclusion and relevanceThis cross-sectional study represents an early demonstration of estimating LVEF from standard angiogram videos of the left coronary artery using video-based DNNs. Further research can improve accuracy and reduce the variability of DNNs to maximize their clinical utility.</t>
  </si>
  <si>
    <t>B. J. Ayekai; W. Chen; M. T. Hailemichael; L. D. Fiasam; A. V. Kwaku; F. Agbley; W. Ayivi; F. Sam; J. M. Danso; D. Kulevome; C. B. Mawuli; Ieee</t>
  </si>
  <si>
    <t>FEDERATED LUNG CANCER PREDICTION USING HISTOPATHOLOGICAL MEDICAL IMAGES</t>
  </si>
  <si>
    <t>2022 19TH INTERNATIONAL COMPUTER CONFERENCE ON WAVELET ACTIVE MEDIA TECHNOLOGY AND INFORMATION PROCESSING (ICCWAMTIP)</t>
  </si>
  <si>
    <t>J. Bai; J. Ren; Z. Xiao; Z. Chen; C. Gao; T. A. A. Ali; L. Jiao</t>
  </si>
  <si>
    <t>Localizing From Classification: Self-Directed Weakly Supervised Object Localization for Remote Sensing Images</t>
  </si>
  <si>
    <t>IEEE TRANSACTIONS ON NEURAL NETWORKS AND LEARNING SYSTEMS</t>
  </si>
  <si>
    <t>10.1109/TNNLS.2023.3309889</t>
  </si>
  <si>
    <t>In recent years, object localization and detection methods in remote sensing images (RSIs) have received increasing attention due to their broad applications. However, most previous fully supervised methods require a large number of time-consuming and labor-intensive instance-level annotations. Compared with those fully supervised methods, weakly supervised object localization (WSOL) aims to recognize object instances using only image-level labels, which greatly saves the labeling costs of RSIs. In this article, we propose a self-directed weakly supervised strategy (SD-WSS) to perform WSOL in RSIs. To specify, we fully exploit and enhance the spatial feature extraction capability of the RSIs' classification model to accurately localize the objects of interest. To alleviate the serious discriminative region problem exhibited by previous WSOL methods, the spatial location information implicit in the classification model is carefully extracted by GradCAM $++$ to guide the learning procedure. Furthermore, to eliminate the interference from complex backgrounds of RSIs, we design a novel self-directed loss to make the model optimize itself and explicitly tell it where to look. Finally, we review and annotate the existing remote sensing scene classification dataset and create two new WSOL benchmarks in RSIs, named C45V2 and PN2. We conduct extensive experiments to evaluate the proposed method and six mainstream WSOL methods with three backbones on C45V2 and PN2. The results demonstrate that our proposed method achieves better performance when compared with state-of-the-arts.</t>
  </si>
  <si>
    <t>M. Bhandari; T. B. Shahi; A. Neupane; K. B. Walsh</t>
  </si>
  <si>
    <t>BotanicX-AI: Identification of Tomato Leaf Diseases Using an Explanation-Driven Deep-Learning Model</t>
  </si>
  <si>
    <t>JOURNAL OF IMAGING</t>
  </si>
  <si>
    <t>10.3390/jimaging9020053</t>
  </si>
  <si>
    <t>Early and accurate tomato disease detection using easily available leaf photos is essential for farmers and stakeholders as it help reduce yield loss due to possible disease epidemics. This paper aims to visually identify nine different infectious diseases (bacterial spot, early blight, Septoria leaf spot, late blight, leaf mold, two-spotted spider mite, mosaic virus, target spot, and yellow leaf curl virus) in tomato leaves in addition to healthy leaves. We implemented EfficientNetB5 with a tomato leaf disease (TLD) dataset without any segmentation, and the model achieved an average training accuracy of 99.84% +/- 0.10%, average validation accuracy of 98.28% +/- 0.20%, and average test accuracy of 99.07% +/- 0.38% over 10 cross folds.The use of gradient-weighted class activation mapping (GradCAM) and local interpretable model-agnostic explanations are proposed to provide model interpretability, which is essential to predictive performance, helpful in building trust, and required for integration into agricultural practice.</t>
  </si>
  <si>
    <t>HELIYON</t>
  </si>
  <si>
    <t>10.1016/j.heliyon.2021.e07211</t>
  </si>
  <si>
    <t>A viral outbreak with a lower respiratory tract febrile illness causes pulmonary syndrome named COVID19. Pulmonary consolidations developed in the lungs of the patients are imperative factors during prognosis and diagnosis. Existing Deep Learning techniques demonstrate promising results in analyzing X-ray images when employed with Transfer Learning. However, Transfer Learning has its inherent limitations, which can be prevaricated by employing the Progressive Resizing technique. The Progressive Resizing technique reuses old computations while learning new ones in Convolution Neural Networks (CNN), enabling it to incorporate prior knowledge of the feature hierarchy. The proposed classification model can classify pulmonary consolidation into normal, pneumonia, and SARS-CoV-2 classes by analyzing X-rays images. The method exhibits substantial enhancement in classification results when the Transfer Learning technique is applied in consultation with the Progressive Resizing technique on EfficientNet CNN. The customized VGG-19 model attained benchmark scores in all evaluation criteria over the baseline VGG-19 model. GradCam based feature interpretation, coupled with X-ray visual analysis, facilitates improved assimilation of the scores. The model highlights its strength to assist medical experts in the COVID-19 identification during the prognosis and subsequently for diagnosis. Clinical implications exist in peripheral and remotely located health centers with the paucity of trained human resources to interpret radiological investigations' findings.</t>
  </si>
  <si>
    <t>Cervical intraepithelial neoplasia (CIN) and cervical cancer are major health problems faced by women worldwide. The conventional Papanicolaou (Pap) smear analysis is an effective method to diagnose cervical pre-malignant and malignant conditions by analyzing swab images. Various computer vision techniques can be explored to identify potential precancerous and cancerous lesions by analyzing the Pap smear image. The majority of existing work cover binary classification approaches using various classifiers and Convolution Neural Networks. However, they suffer from inherent challenges for minute feature extraction and precise classification. We propose a novel methodology to carry out the multiclass classification of cervical cells from Whole Slide Images (WSI) with optimum feature extraction. The actualization of Conv Net with Transfer Learning technique substantiates meaningful Metamorphic Diagnosis of neoplastic and pre-neoplastic lesions. As the Progressive Resizing technique (an advanced method for training ConvNet) incorporates prior knowledge of the feature hierarchy and can reuse old computations while learning new ones, the model can carry forward the extracted morphological cell features to subsequent Neural Network layers iteratively for elusive learning. The Progressive Resizing technique superimposition in consultation with the Transfer Learning technique while training the Conv Net models has shown a substantial performance increase. The proposed binary and multiclass classification methodology succored in achieving benchmark scores on the Herlev Dataset. We achieved singular multiclass classification scores for WSI images of the SIPaKMed dataset, that is, accuracy (99.70%), precision (99.70%), recall (99.72%), F-Beta (99.63%), and Kappa scores (99.31%), which supersede the scores obtained through principal methodologies. GradCam based feature interpretation extends enhanced assimilation of the generated results, highlighting the pre-malignant and malignant lesions by visual localization in the images.</t>
  </si>
  <si>
    <t>P. Bruno; F. Calimeri</t>
  </si>
  <si>
    <t>Understanding Automatic Pneumonia Classification Using Chest X-Ray Images</t>
  </si>
  <si>
    <t>AIXIA 2020 - ADVANCES IN ARTIFICIAL INTELLIGENCE</t>
  </si>
  <si>
    <t>37-50</t>
  </si>
  <si>
    <t>10.1007/978-3-030-77091-4_3</t>
  </si>
  <si>
    <t>Pneumonia has been recognized as a common and potentially lethal condition for nearly two centuries. The COVID-19 disease caused by the SARS-CoV-2 virus first appeared in Wuhan, China, and is considered a serious disease due to its high permeability, and contagiousness. Patients with COVID-19 may suffer from cough, fever, tiredness, dyspnea, and other signs and symptoms similar to those of tuberculosis (TB) and other respiratory infections disease. The similarity of COVID19 disease with other lung infections, along with its high spreading rate, makes the diagnosis difficult. Solutions based on machine learning techniques achieved relevant results in identifying the correct disease and providing early diagnosis, and can hence provide significant clinical decision support; however, such approaches suffer from the lack of proper means for interpreting the choices made by the models, especially in case of deep learning ones. With the aim to improve interpretability and explainability in the process of making qualified decisions, we designed a system that allows a partial opening of this black box by means of proper investigations on the rationale behind the decisions. We tested our approach over artificial neural networks trained for multiple classifications based on Chest X-ray images; our tool analyzed the internal processes performed by the networks during the classification tasks to identify the most important elements involved in the training process that influence the network's decisions. We report the results of an experimental analysis aimed at assessing the viability of the proposed approach.</t>
  </si>
  <si>
    <t>P. Bruno; F. Calimeri; A. S. Kitanidis; E. De Momi</t>
  </si>
  <si>
    <t>PROCEEDINGS OF THE 2020 IEEE INTERNATIONAL CONFERENCE ON HUMAN-MACHINE SYSTEMS (ICHMS)</t>
  </si>
  <si>
    <t>399-404</t>
  </si>
  <si>
    <t>10.1109/ichms49158.2020.9209499</t>
  </si>
  <si>
    <t>Providing accurate diagnosis of diseases generally requires complex analyses of many clinical, biological and pathological variables. In this context, solutions based on machine learning techniques achieved relevant results in specific disease detection and classification, and can hence provide significant clinical decision support. However, such approaches suffer from the lack of proper means for interpreting the choices made by the models, especially in case of deep-learning ones.In order to improve interpretability and explainability in the process of making qualified decisions, we designed a system that allows for a partial opening of this black box by means of proper investigations on the rationale behind the decisions; this can provide improved understandings into which pre-processing steps are crucial for better performance.We tested our approach over artificial neural networks trained for automatic medical diagnosis based on high-dimensional gene expression and clinical data. Our tool analyzed the internal processes performed by the networks during the classification tasks in order to identify the most important elements involved in the training process that influence the network's decisions.We report the results of an experimental analysis aimed at assessing the viability of the proposed approach.</t>
  </si>
  <si>
    <t>R. M. Carrillo-Larco; M. Castillo-Cara; J. F. H. Santa Cruz</t>
  </si>
  <si>
    <t>Street images classification according to COVID-19 risk in Lima, Peru: a convolutional neural networks feasibility analysis</t>
  </si>
  <si>
    <t>BMJ OPEN</t>
  </si>
  <si>
    <t>10.1136/bmjopen-2022-063411</t>
  </si>
  <si>
    <t>Objectives During the COVID-19 pandemic, convolutional neural networks (CNNs) have been used in clinical medicine (eg, X-rays classification). Whether CNNs could inform the epidemiology of COVID-19 classifying street images according to COVID-19 risk is unknown, yet it could pinpoint high-risk places and relevant features of the built environment. In a feasibility study, we trained CNNs to classify the area surrounding bus stops (Lima, Peru) into moderate or extreme COVID-19 risk. Design CNN analysis based on images from bus stops and the surrounding area. We used transfer learning and updated the output layer of five CNNs: NASNetLarge, InceptionResNetV2, Xception, ResNet152V2 and ResNet101V2. We chose the best performing CNN, which was further tuned. We used GradCam to understand the classification process. Setting Bus stops from Lima, Peru. We used five images per bus stop. Primary and secondary outcome measures Bus stop images were classified according to COVID-19 risk into two labels: moderate or extreme. Results NASNetLarge outperformed the other CNNs except in the recall metric for the moderate label and in the precision metric for the extreme label; the ResNet152V2 performed better in these two metrics (85% vs 76% and 63% vs 60%, respectively). The NASNetLarge was further tuned. The best recall (75%) and F1 score (65%) for the extreme label were reached with data augmentation techniques. Areas close to buildings or with people were often classified as extreme risk. Conclusions This feasibility study showed that CNNs have the potential to classify street images according to levels of COVID-19 risk. In addition to applications in clinical medicine, CNNs and street images could advance the epidemiology of COVID-19 at the population level.</t>
  </si>
  <si>
    <t>2023 IEEE 24TH INTERNATIONAL CONFERENCE ON INFORMATION REUSE AND INTEGRATION FOR DATA SCIENCE, IRI</t>
  </si>
  <si>
    <t>Purpose: To illustrate what is inside the so-called black box of deep learning models (DLMs) so that clinicians can have greater confidence in the conclusions of artificial intelligence by evaluating adversarial explanation on its ability to explain the rationale of DLM decisions for glaucoma and glaucoma-related findings. Adversarial explanation generates adversarial examples (AEs), or images that have been changed to gain or lose pathologic characteristic-specific traits, to explain the DLM's rationale.Design: Evaluation of explanation methods for DLMs.Participants: Health screening participants (n = 1653) at the Seoul National University Hospital Health Promotion Center, Seoul, Republic of Korea.Methods: We trained DLMs for referable glaucoma (RG), increased cup-to-disc ratio (ICDR), disc rim narrowing (DRN), and retinal nerve fiber layer defect (RNFLD) using 6430 retinal fundus images. Surveys consisting of explanations using AE and gradient-weighted class activation mapping (GradCAM), a conventional heatmapbased explanation method, were generated for 400 pathologic and healthy patient eyes. For each method, board-trained glaucoma specialists rated location explainability, the ability to pinpoint decision-relevant areas in the image, and rationale explainability, the ability to inform the user on the model's reasoning for the decision based on pathologic features. Scores were compared by paired Wilcoxon signed-rank test.Main Outcome Measures: Area under the receiver operating characteristic curve (AUC), sensitivities, and specificities of DLMs; visualization of clinical pathologic changes of AEs; and survey scores for locational and rationale explainability.Results: The AUCs were 0.90, 0.99, 0.95, and 0.79 and sensitivities were 0.79, 1.00, 0.82, and 0.55 at 0.90 specificity for RG, ICDR, DRN, and RNFLD DLMs, respectively. Generated AEs showed valid clinical feature changes, and survey results for location explainability were 3.94 1.33 and 2.55 1.24 using AEs and GradCAMs, respectively, of a possible maximum score of 5 points. The scores for rationale explainability were 3.97 1.31 and 2.10 1.25 for AEs and GradCAM, respectively. Adversarial example provided significantly better explainability than GradCAM.Conclusions: Adversarial explanation increased the explainability over GradCAM, a conventional heatmapbased explanation method. Adversarial explanation may help medical professionals understand more clearly the rationale of DLMs when using them for clinical decisions. (C) 2020 by the American Academy of Ophthalmology</t>
  </si>
  <si>
    <t>D. F. Collazos-Huertas; A. M. Alvarez-Meza; G. Castellanos-Dominguez</t>
  </si>
  <si>
    <t>APPLIED SCIENCES-BASEL</t>
  </si>
  <si>
    <t>Brain activity stimulated by the motor imagery paradigm (MI) is measured by Electroencephalography (EEG), which has several advantages to be implemented with the widely used Brain-Computer Interfaces (BCIs) technology. However, the substantial inter/intra variability of recorded data significantly influences individual skills on the achieved performance. This study explores the ability to distinguish between MI tasks and the interpretability of the brain's ability to produce elicited mental responses with improved accuracy. We develop a Deep and Wide Convolutional Neuronal Network fed by a set of topoplots extracted from the multichannel EEG data. Further, we perform a visualization technique based on gradient-based class activation maps (namely, GradCam++) at different intervals along the MI paradigm timeline to account for intra-subject variability in neural responses over time. We also cluster the dynamic spatial representation of the extracted maps across the subject set to come to a deeper understanding of MI-BCI coordination skills. According to the results obtained from the evaluated GigaScience Database of motor-evoked potentials, the developed approach enhances the physiological explanation of motor imagery in aspects such as neural synchronization between rhythms, brain lateralization, and the ability to predict the MI onset responses and their evolution during training sessions.</t>
  </si>
  <si>
    <t>E. Crincoli; A. Miere; N. Herda; F. Catania; J. M. Lopez; S. Ferrara; R. Sacconi; G. Querques; E. Souied</t>
  </si>
  <si>
    <t>Prediction of chronic and recurrent forms of Central Serous Chorioretinopathy based on ICGA and OCT features</t>
  </si>
  <si>
    <t>INVESTIGATIVE OPHTHALMOLOGY &amp; VISUAL SCIENCE</t>
  </si>
  <si>
    <t>J. E. C. G. de Oro; P. J. Koch; J. Krois; A. G. C. Ros; J. Patel; H. Meyer-Lueckel; F. Schwendicke</t>
  </si>
  <si>
    <t>Hyperparameter Tuning and Automatic Image Augmentation for Deep Learning-Based Angle Classification on Intraoral Photographs-A Retrospective Study</t>
  </si>
  <si>
    <t>10.3390/diagnostics12071526</t>
  </si>
  <si>
    <t>We aimed to assess the effects of hyperparameter tuning and automatic image augmentation for deep learning-based classification of orthodontic photographs along the Angle classes. Our dataset consisted of 605 images of Angle class I, 1038 images of class II, and 408 images of class III. We trained ResNet architectures for classification of different combinations of learning rate and batch size. For the best combination, we compared the performance of models trained with and without automatic augmentation using 10-fold cross-validation. We used GradCAM to increase explainability, which can provide heat maps containing the salient areas relevant for the classification. The best combination of hyperparameters yielded a model with an accuracy of 0.63-0.64, F1-score 0.61-0.62, sensitivity 0.59-0.65, and specificity 0.80-0.81. For all metrics, it was apparent that there was an ideal corridor of batch size and learning rate combinations; smaller learning rates were associated with higher classification performance. Overall, the performance was highest for learning rates of around 1-3 x 10(-6) and a batch size of eight, respectively. Additional automatic augmentation improved all metrics by 5-10% for all metrics. Misclassifications were most common between Angle classes I and II. GradCAM showed that the models employed features relevant for human classification, too. The choice of hyperparameters drastically affected the performance of deep learning models in orthodontics, and automatic image augmentation resulted in further improvements. Our models managed to classify the dental sagittal occlusion along Angle classes based on digital intraoral photos.</t>
  </si>
  <si>
    <t>V. S. Dhaka; G. Rani; M. G. Oza; T. Sharma; A. Misra</t>
  </si>
  <si>
    <t>A deep learning model for mass screening of COVID-19</t>
  </si>
  <si>
    <t>INTERNATIONAL JOURNAL OF IMAGING SYSTEMS AND TECHNOLOGY</t>
  </si>
  <si>
    <t>483-498</t>
  </si>
  <si>
    <t>10.1002/ima.22544</t>
  </si>
  <si>
    <t>The objective of this research is to develop a convolutional neural network model 'COVID-Screen-Net' for multi-class classification of chest X-ray images into three classes viz. COVID-19, bacterial pneumonia, and normal. The model performs the automatic feature extraction from X-ray images and accurately identifies the features responsible for distinguishing the X-ray images of different classes. It plots these features on the GradCam. The authors optimized the number of convolution and activation layers according to the size of the dataset. They also fine-tuned the hyperparameters to minimize the computation time and to enhance the efficiency of the model. The performance of the model has been evaluated on the anonymous chest X-ray images collected from hospitals and the dataset available on the web. The model attains an average accuracy of 97.71% and a maximum recall of 100%. The comparative analysis shows that the 'COVID-Screen-Net' outperforms the existing systems for screening of COVID-19. The effectiveness of the model is validated by the radiology experts on the real-time dataset. Therefore, it may prove a useful tool for quick and low-cost mass screening of patients of COVID-19. This tool may reduce the burden on health experts in the present situation of the Global Pandemic. The copyright of this tool is registered in the names of authors under the laws of Intellectual Property Rights in India with the registration number 'SW-13625/2020'.</t>
  </si>
  <si>
    <t>IEEE JOURNAL OF BIOMEDICAL AND HEALTH INFORMATICS</t>
  </si>
  <si>
    <t>E. Elfatimi; R. Eryigit; H. A. Shehu</t>
  </si>
  <si>
    <t>Impact of datasets on the effectiveness of MobileNet for beans leaf disease detection</t>
  </si>
  <si>
    <t>1773-1789</t>
  </si>
  <si>
    <t>10.1007/s00521-023-09187-4</t>
  </si>
  <si>
    <t>Bean is a widely cultivated crop worldwide; however, it is susceptible to various diseases that can adversely affect the quality of beans, including rust and angular leaf spot diseases. These diseases can cause significant damage by wiping out hectares of crops, emphasizing the need for early detection. Deep learning algorithms have shown remarkable performance in image detection tasks, achieving high accuracy on many datasets. This study used a deep learning technique, specifically the MobileNet architecture, to detect bean leaf disease. We evaluated the effectiveness of the approach by testing the model on three different bean leaf image datasets with varying difficulty. MobileNet was chosen due to its ability to achieve high performance with a reduced number of parameters and faster execution time. Additionally, we examined the impact of the datasets on the model's performance and presented a comparative analysis of the three datasets, and then we applied the GradCAM technique to the model's predictions. Experimental results showed that the proposed approach achieved remarkable accuracy, with over 92% accuracy on all three datasets. The study provides a valuable contribution to the field of plant disease detection and highlights the potential of deep learning techniques in detecting bean leaf disease.</t>
  </si>
  <si>
    <t>C. Fang; W. Yan; Y. Chen; Z. Dou; T. Liu; F. Luo; W. Chen; X. Li; Y. Chen; W. Wu; Z. Yuan; Y. Niu; P. Wang; W. Zhu; X. Luo; T. Chen; X. Bai; X. Wang; Q. Ning</t>
  </si>
  <si>
    <t>Long-term SARS-CoV-2 neutralizing antibody level prediction using multimodal deep learning: A prospective cohort study on longitudinal data in Wuhan, China</t>
  </si>
  <si>
    <t>JOURNAL OF MEDICAL VIROLOGY</t>
  </si>
  <si>
    <t>10.1002/jmv.29036</t>
  </si>
  <si>
    <t>The ongoing epidemic of SARS-CoV-2 is taking a substantial financial and health toll on people worldwide. Assessing the level and duration of SARS-CoV-2 neutralizing antibody (Nab) would provide key information for government to make sound healthcare policies. Assessed at 3-, 6-, 12-, and 18-month postdischarge, we described the temporal change of IgG levels in 450 individuals with moderate to critical COVID-19 infection. Moreover, a data imputation framework combined with a novel deep learning model was implemented to predict the long-term Nab and IgG levels in these patients. Demographic characteristics, inspection reports, and CT scans during hospitalization were used in this model. Interpretability of the model was further validated with Shapely Additive exPlanation (SHAP) and Gradient-weighted Class Activation Mapping (GradCAM). IgG levels peaked at 3 months and remained stable in 12 months postdischarge, followed by a significant decline in 18 months postdischarge. However, the Nab levels declined from 6 months postdischarge. By training on the cohort of 450 patients, our long-term antibody prediction (LTAP) model could predict long-term IgG levels with relatively high area under the receiver operating characteristic curve (AUC), accuracy, precision, recall, and F1-score, which far exceeds the performance achievable by commonly used models. Several prognostic factors including FDP levels, the percentages of T cells, B cells and natural killer cells, older age, sex, underlying diseases, and so forth, served as important indicators for IgG prediction. Based on these top 15 prognostic factors identified in IgG prediction, a simplified LTAP model for Nab level prediction was established and achieved an AUC of 0.828, which was 8.9% higher than MLP and 6.6% higher than LSTM. The close correlation between IgG and Nab levels making it possible to predict long-term Nab levels based on the factors selected by our LTAP model. Furthermore, our model identified that coagulation disorders and excessive immune response, which indicate disease severity, are closely related to the production of IgG and Nab. This universal model can be used as routine discharge tests to identify virus-infected individuals at risk for recurrent infection and determine the optimal timing of vaccination for general populations.</t>
  </si>
  <si>
    <t>COMPUTERS AND ELECTRONICS IN AGRICULTURE</t>
  </si>
  <si>
    <t>10.1016/j.compag.2022.107199</t>
  </si>
  <si>
    <t>Characteristic wavelength selection is a research hotspot in hyperspectral data processing and a key to improving the accuracy of identifying the degree of rice blast infection. This study combines deep learning and visualization techniques to create a wavelength selection method for spectral features of rice blast. A deep convolutional neural (DCNN) structure was designed by combining the convolutional block attention module (CBAM) with residual network (ResNet) to learn different classes of disease features. And the guided grade-weighted heatmap (Guided-GradHM) of the last layer of convolution was obtained using the guided gradient-weighted class acti-vation mapping (Guided-GradCAM) method. Then the spectral characteristic wavelengths were selected based on the average Guided-GradHM of different disease levels. Finally, statistical analysis (JM distance, within-class scatter) and comparative modeling analysis were used to verify the method's validity in this study. The re-sults show that the characteristic wavelengths selected by the Guided-GradCAM method based on the ResNet-CBAM network structure have good inter-class separability and intra-class aggregation, with JM distance greater than 1.9 and within-class scatter less than 0.4. Meanwhile, the random forest (RF) and support vector machine (SVM) models constructed from the spectral characteristic wavelengths selected by the Guided-GradCAM method achieved the best disease level classification accuracy, with overall accuracy (OA) and Kappa of 97.21% and 96.55%, 96.51%, and 95.69%, respectively. Overall, this research method can more accurately select the spectral characteristic wavelengths of different disease levels of rice blast and can provide a more effective method for accurate identification and timely control of the disease.</t>
  </si>
  <si>
    <t>L. Folle; D. Simon; K. Tascilar; G. Kroenke; A.-M. Liphardt; A. Maier; G. Schett; A. Kleyer</t>
  </si>
  <si>
    <t>Deep Learning-Based Classification of Inflammatory Arthritis by Identification of Joint Shape Patterns-How Neural Networks Can Tell Us Where to Deep Dive" Clinically"</t>
  </si>
  <si>
    <t>FRONTIERS IN MEDICINE</t>
  </si>
  <si>
    <t>10.3389/fmed.2022.850552</t>
  </si>
  <si>
    <t>Objective:We investigated whether a neural network based on the shape of joints can differentiate between rheumatoid arthritis (RA), psoriatic arthritis (PsA), and healthy controls (HC), which class patients with undifferentiated arthritis (UA) are assigned to, and whether this neural network is able to identify disease-specific regions in joints. MethodsWe trained a novel neural network on 3D articular bone shapes of hand joints of RA and PsA patients as well as HC. Bone shapes were created from high-resolution peripheral-computed-tomography (HR-pQCT) data of the second metacarpal bone head. Heat maps of critical spots were generated using GradCAM. After training, we fed shape patterns of UA into the neural network to classify them into RA, PsA, or HC. ResultsHand bone shapes from 932 HR-pQCT scans of 617 patients were available. The network could differentiate the classes with an area-under-receiver-operator-curve of 82% for HC, 75% for RA, and 68% for PsA. Heat maps identified anatomical regions such as bare area or ligament attachments prone to erosions and bony spurs. When feeding UA data into the neural network, 86% were classified as RA," 11% as "PsA," and 3% as "HC" based on the joint shape. ConclusionWe investigated neural networks to differentiate the shape of joints of RA, PsA, and HC and extracted disease-specific characteristics as heat maps on 3D joint shapes that can be utilized in clinical routine examination using ultrasound. Finally, unspecific diseases such as UA could be grouped using the trained network based on joint shape."</t>
  </si>
  <si>
    <t>M. Frueh; M. Fischer; A. Schilling; S. Gatidis; T. Hepp</t>
  </si>
  <si>
    <t>Weakly supervised segmentation of tumor lesions in PET-CT hybrid imaging</t>
  </si>
  <si>
    <t>JOURNAL OF MEDICAL IMAGING</t>
  </si>
  <si>
    <t>10.1117/1.JMI.8.5.054003</t>
  </si>
  <si>
    <t>Purpose: We introduce and evaluate deep learning methods for weakly supervised segmentation of tumor lesions in whole-body fluorodeoxyglucose-positron emission tomography (FDG-PET) based solely on binary global labels (tumor" versus "no tumor").Approach: We propose a three-step approach based on (i) a deep learning framework for image classification, (ii) subsequent generation of class activation maps (CAMs) using different CAM methods (CAM, GradCAM, GradCAM++, ScoreCAM), and (iii) final tumor segmentation based on the aforementioned CAMs. A VGG-based classification neural network was trained to distinguish between PET image slices with and without FDG-avid tumor lesions. Subsequently, the CAMs of this network were used to identify the tumor regions within images. This proposed framework was applied to FDG-PET/CT data of 453 oncological patients with available manually generated ground-truth segmentations. Quantitative segmentation performance was assessed for the different CAM approaches and compared with the manual ground truth segmentation and with supervised segmentation methods. In addition, further biomarkers (MTV and TLG) were extracted from the segmentation masks.Results: A weakly supervised segmentation of tumor lesions was feasible with satisfactory performance [best median Dice score 0.47, interquartile range (IQR) 0.35] compared with a fully supervised U-Net model (median Dice score 0.72, IQR 0.36) and a simple threshold based segmentation (Dice score 0.29, IQR 0.28). CAM, GradCAM++, and ScoreCAM yielded similar results. However, GradCAM led to inferior results (median Dice score: 0.12, IQR 0.21) and was likely to ignore multiple instances within a given slice. CAM, GradCAM++, and ScoreCAM yielded accurate estimates of metabolic tumor volume (MTV) and tumor lesion glycolysis. Again, worse results were observed for GradCAM.Conclusions: This work demonstrated the feasibility of weakly supervised segmentation of tumor lesions and accurate estimation of derived metrics such as MTV and tumor lesion glycolysis. (C) The Authors. Published by SPIE under a Creative Commons Attribution 4.0 International License."</t>
  </si>
  <si>
    <t>M. Gakhar; A. Aggarwal</t>
  </si>
  <si>
    <t>ThoraciNet: thoracic abnormality detection and disease classification using fusion DCNNs</t>
  </si>
  <si>
    <t>PHYSICAL AND ENGINEERING SCIENCES IN MEDICINE</t>
  </si>
  <si>
    <t>10.1007/s13246-022-01137-z</t>
  </si>
  <si>
    <t>Chest X-rays are arguably the de facto medical imaging technique for diagnosing thoracic abnormalities. Chest X-ray analysis is complex, especially in asymptomatic diseases, and relies heavily on the expertise of radiologists. This work proposes the use of deep learning models to automate the process of thoracic abnormality detection, classification, and segmentation. The advent of large-scale, annotated and public chest X-ray databases have enabled deep learning researchers to build state-of-the-art computer-aided diagnosis systems for such tasks. In this work, a two-stage pipeline is proposed for thoracic abnormality detection and disease classification using chest X-rays. Two fusion-based models are proposed for disease classification, using two asymmetric, deep convolutional neural networks. Results are evaluated over NIH database covering multiple patients' X-rays with metrics such as accuracy and AUC scores. The proposed architecture outperforms the existing ones, achieving AUC scores of 0.99 for CXR triaging and 0.79 for CXR disease classification. Furthermore, GradCAM visualization is performed to validate the results, rendering model predictions interpretable to experts and end-users.</t>
  </si>
  <si>
    <t>E. Z. Goodwin</t>
  </si>
  <si>
    <t>Emotion Recognition with Deep Learning and Its Correlation with Veracity</t>
  </si>
  <si>
    <t>K. Gu; T. Prioleau; S. Vosoughi; Ieee</t>
  </si>
  <si>
    <t>2022 26TH INTERNATIONAL CONFERENCE ON PATTERN RECOGNITION (ICPR)</t>
  </si>
  <si>
    <t>Though deep neural networks such as convolutional neural networks (CNNs) have achieved high predictive accuracy on many tasks in health domain, the lack of explanation and reasoning behind the predictions can cause adverse consequences in many high stakes" applications such as predicting mortality in ICU. Existing popular explanation methods, including GradCam, LIME, SHAP and so on, are designed for image and text data, but not for physiological data in the form of time series like electrocardiograms (ECG). Moreover, these methods can only generate interpretable visualizations for qualitative evaluations while cannot satisfy the need for quantitative evaluations. To fill this gap, we introduce a novel generalized framework for quantitatively explaining CNN representations for physiological signals called ENPhyS. Specifically, inspired by visual concepts (e.g. parts, objects and scenes), we first define physiological concepts which are drawn from existing clinical knowledge (e.g. P wave in ECG). ENPhys further measures the interpretability of CNN by the alignment between a hidden CNN unit and each physiological concept. Finally, we propose novel interpretability metrics -Consistency, Confidence, Completeness and C-Score -to quantify the interpretability of CNNs from different perspectives. We evaluate our metrics on three state-of-the-art CNN models and on three types of physiological signals. Results from user study suggest that our metrics are in line with human intuition of interpretability."</t>
  </si>
  <si>
    <t>IEEE ROBOTICS AND AUTOMATION LETTERS</t>
  </si>
  <si>
    <t>R. Guo; X. Sun; K. Chen; X. Zhou; Z. Yan; W. Diao; M. Yan</t>
  </si>
  <si>
    <t>JMLNet: Joint Multi-Label Learning Network for Weakly Supervised Semantic Segmentation in Aerial Images</t>
  </si>
  <si>
    <t>REMOTE SENSING</t>
  </si>
  <si>
    <t>10.3390/rs12193169</t>
  </si>
  <si>
    <t>Weakly supervised semantic segmentation in aerial images has attracted growing research attention due to the significant saving in annotation cost. Most of the current approaches are based on one specific pseudo label. These methods easily overfit the wrongly labeled pixels from noisy label and limit the performance and generalization of the segmentation model. To tackle these problems, we propose a novel joint multi-label learning network (JMLNet) to help the model learn common knowledge from multiple noisy labels and prevent the model from overfitting one specific label. Our combination strategy of multiple proposals is that we regard them all as ground truth and propose three new multi-label losses to use the multi-label guide segmentation model in the training process. JMLNet also contains two methods to generate high-quality proposals, which further improve the performance of the segmentation task. First we propose a detection-based GradCAM (GradCAMD) to generate segmentation proposals from object detectors. Then we use GradCAMD to adjust the GrabCut algorithm and generate segmentation proposals (GrabCutC). We report the state-of-the-art results on the semantic segmentation task of iSAID and mapping challenge dataset when training with bounding boxes annotations.</t>
  </si>
  <si>
    <t>A. Gupta; F. Mendonca; S. S. Mostafa; A. G. Ravelo-Garcia; F. Morgado-Dias</t>
  </si>
  <si>
    <t>Visual Explanations of Deep Learning Architectures in Predicting Cyclic Alternating Patterns Using Wavelet Transforms</t>
  </si>
  <si>
    <t>ELECTRONICS</t>
  </si>
  <si>
    <t>10.3390/electronics12132954</t>
  </si>
  <si>
    <t>Cyclic Alternating Pattern (CAP) is a sleep instability marker defined based on the amplitude and frequency of the electroencephalogram signal. Because of the time and intensive process of labeling the data, different machine learning and automatic approaches are proposed. However, due to the low accuracy of the traditional approach and the black box approach of the machine learning approach, the proposed systems remain untrusted by the physician. This study contributes to accurately estimating CAP in a Frequency-Time domain by A-phase and its subtypes prediction by transforming the monopolar deviated electroencephalogram signals into corresponding scalograms. Subsequently, various computer vision classifiers were tested for the A-phase using scalogram images. It was found that MobileNetV2 outperformed all other tested classifiers by achieving the average accuracy, sensitivity, and specificity values of 0.80, 0.75, and 0.81, respectively. The MobileNetV2 trained model was further fine-tuned for A-phase subtypes prediction. To further verify the visual ability of the trained models, Gradcam++ was employed to identify the targeted regions by the trained network. It was verified that the areas identified by the model match the regions focused on by the sleep experts for A-phase predictions, thereby proving its clinical viability and robustness. This motivates the development of novel deep learning based methods for CAP patterns predictions.</t>
  </si>
  <si>
    <t>K. Haciefendioglu; H. B. Basaga; Z. Yavuz; M. T. Karimi</t>
  </si>
  <si>
    <t>RENEWABLE ENERGY</t>
  </si>
  <si>
    <t>10.1016/j.renene.2021.10.025</t>
  </si>
  <si>
    <t>Studying the efficacy of intelligent systems to successfully detect ice accumulation on wind turbines in cold climates has been gaining traction in recent years. In this study, both visualization and segmentation techniques were utilized in order to compare their respective results in the detection of ice on wind turbines. In pursuit of this objective, photos of wind turbines, taken under different conditions, were analyzed. To correctly classify objects automatically, pre-trained models of Resnet-50, VGG-16, VGG-19, and Inception-V3, were used. The deep learning approaches used to reliably predict the exact position of icing on wind turbine blades, including the visualization techniques Grad-CAM, Grad-CAM ++, and Score-CAM, proved to have adequate reliability with Score-CAM subsequently identified as the best visualization technique for localization. Additionally, the U-Net segmentation approach was used to delineate icing area boundaries. The U-Net approach was compared with the best visualization technique and pre-trained model to evaluate the visualization efficiency in different situations, including near and far views of a wind turbine, ice density, and light. Results showed that these methods have a high degree of accuracy in detecting ice on wind turbines. (C) 2021 Elsevier Ltd. All rights reserved.</t>
  </si>
  <si>
    <t>K. Haciefendioglu; G. Demir; H. B. Basaga</t>
  </si>
  <si>
    <t>Landslide detection using visualization techniques for deep convolutional neural network models</t>
  </si>
  <si>
    <t>NATURAL HAZARDS</t>
  </si>
  <si>
    <t>329-350</t>
  </si>
  <si>
    <t>10.1007/s11069-021-04838-y</t>
  </si>
  <si>
    <t>Landslides occur when masses of rock, earth, and other debris move down a slope. The slope of an area is directly responsible for the magnitude of the landslide. Being able to identify regional locations more likely to be impacted by landslides is essential if interventions to prevent loss of life and liberty are to be implemented. To further this objective, studies have been carried out using deep learning methods to assess the likelihood of landslides in a localized area. This study seeks to illuminate the reliability in using the deep learning method to effectively detect landslide zones for the purpose of enacting proactive interventions. Pre-trained models of Resnet-50, VGG-19, Inception-V3, and Xception, all of which are established deep learning approaches, were used to automatically detect regional landslides and then compare results. In addition, Grad-CAM, Grad-CAM + + , and Score-CAM visualization techniques were considered depending on the deep learning methods used to accurately predict the location of landslides. The present research focuses on the landslides that took place in the Gundogdu area of Rize, a city on the Black Sea cost of Turkey, from August 26 to 27, 2010, where unfortunately a significant number of individuals lost their lives. As a large number of landslide scene images are needed in order to facilitate a learning model's deep learning, images from the area were obtained by aircraft and then organized as a dataset. Non-landslide scenes were added as a separate class in the training dataset to estimate the landslide regions more accurately. In total, 80% of the data will be used for training the model, while 20% will be used for testing the model that is built out of it. The experimental results were evaluated with the receiver operating curves and f1-score applicable to landslide detection characteristics. Obtained results show that both Resnet-50 and VGG-19 had a success rate of over 90%. Results also effectively demonstrate how the best visualization techniques for localizations are Grad-CAM and Score-CAM.</t>
  </si>
  <si>
    <t>M. T. Hagos; K. M. Curran; B. Mac Namee</t>
  </si>
  <si>
    <t>Impact of Feedback Type on Explanatory Interactive Learning</t>
  </si>
  <si>
    <t>FOUNDATIONS OF INTELLIGENT SYSTEMS (ISMIS 2022)</t>
  </si>
  <si>
    <t>127-137</t>
  </si>
  <si>
    <t>10.1007/978-3-031-16564-1_13</t>
  </si>
  <si>
    <t>Explanatory Interactive Learning (XIL) collects user feedback on visual model explanations to implement a Human-in-the-Loop (HITL) based interactive learning scenario. Different user feedback types will have different impacts on user experience and the cost associated with collecting feedback since different feedback types involve different levels of image annotation. Although XIL has been used to improve classification performance in multiple domains, the impact of different user feedback types on model performance and explanation accuracy is not well studied. To guide future XIL work we compare the effectiveness of two different user feedback types in image classification tasks: (1) instructing an algorithm to ignore certain spurious image features, and (2) instructing an algorithm to focus on certain valid image features. We use explanations from a Gradient-weighted Class Activation Mapping (GradCAM) based XIL model to support both feedback types. We show that identifying and annotating spurious image features that a model finds salient results in superior classification and explanation accuracy than user feedback that tells a model to focus on valid image features.</t>
  </si>
  <si>
    <t>VISION RESEARCH</t>
  </si>
  <si>
    <t>10.1016/j.visres.2021.09.004</t>
  </si>
  <si>
    <t>O. S. Hemied; M. S. Gadelrab; E. A. Sharara; T. H. A. Soliman; A. Tsuji; K. Terada</t>
  </si>
  <si>
    <t>A COVID-19 Visual Diagnosis Model Based on Deep Learning and GradCAM</t>
  </si>
  <si>
    <t>IEEJ TRANSACTIONS ON ELECTRICAL AND ELECTRONIC ENGINEERING</t>
  </si>
  <si>
    <t>1038-1047</t>
  </si>
  <si>
    <t>10.1002/tee.23593</t>
  </si>
  <si>
    <t>Recently, the whole world was hit by COVID-19 pandemic that led to health emergency everywhere. During the peak of the early waves of the pandemic, medical and healthcare departments were overwhelmed by the number of COVID-19 cases that exceeds their capacity. Therefore, new rules and techniques are urgently required to help in receiving, filtering and diagnosing patients. One of the decisive steps in the fight against COVID-19 is the ability to detect patients early enough and selectively put them under special care. Symptoms of this disease can be observed in chest X-rays. However, it is sometimes difficult and tricky to differentiate only" pneumonia patients from COVID-19 patients. Machine-learning can be very helpful in carrying out this task. In this paper, we tackle the problem of COVID-19 diagnostics following a data-centric approach. For this purpose, we construct a diversified dataset of chest X-ray images from publicly available datasets and by applying data augmentation techniques. Then, we employ a transfer learning approach based on a pre-trained convolutional neural network (DenseNet-169) to detect COVID-19 in chest X-ray images. In addition to that, we employ Gradient-weighted Class Activation Mapping (GradCAM) to provide visual inspection and explanation of the predictions made by our deep learning model. The results were evaluated against various metrics such as sensitivity, specificity, Positive Predictive Value (PPV), Negative Predictive Value (NPV) and the confusion matrix. The resulting models has achieved an average detection accuracy close to 98.82%. (c) 2022 Institute of Electrical Engineers of Japan. Published by Wiley Periodicals LLC."</t>
  </si>
  <si>
    <t>D. Hinkle; B. Thuro; K. Desingu; N. Dhanasekaran; N. Yanamala</t>
  </si>
  <si>
    <t>Machine Learning Algorithm to Analyze Histopathologic Sections of Temporal Artery Biopsy Specimens</t>
  </si>
  <si>
    <t>Y. Hirose; S. Ono; Ieee</t>
  </si>
  <si>
    <t>2023 18TH INTERNATIONAL CONFERENCE ON MACHINE VISION AND APPLICATIONS, MVA</t>
  </si>
  <si>
    <t>R. Holland; O. Leingang; A. M. Hagag; C. Holmes; P. Anders; J. C. C. Paetzold; R. Kaye; S. Riedl; H. Bogunovic; U. Schmidt-Erfurth; H. P. Scholl; D. Rueckert; A. J. Lotery; S. Sivaprasad; M. J. Menten</t>
  </si>
  <si>
    <t>Deep-learning-based clustering of OCT images for automated biomarker discovery in age-related macular degeneration</t>
  </si>
  <si>
    <t>A. Holtkamp; K. Elhennawy; J. E. Cejudo Grano de Oro; J. Krois; S. Paris; F. Schwendicke</t>
  </si>
  <si>
    <t>Generalizability of Deep Learning Models for Caries Detection in Near-Infrared Light Transillumination Images</t>
  </si>
  <si>
    <t>JOURNAL OF CLINICAL MEDICINE</t>
  </si>
  <si>
    <t>10.3390/jcm10050961</t>
  </si>
  <si>
    <t>Objectives: The present study aimed to train deep convolutional neural networks (CNNs) to detect caries lesions on Near-Infrared Light Transillumination (NILT) imagery obtained either in vitro or in vivo and to assess the models' generalizability. Methods: In vitro, 226 extracted posterior permanent human teeth were mounted in a diagnostic model in a dummy head. Then, NILT images were generated (DIAGNOcam, KaVo, Biberach), and images were segmented tooth-wise. In vivo, 1319 teeth from 56 patients were obtained and segmented similarly. Proximal caries lesions were annotated pixel-wise by three experienced dentists, reviewed by a fourth dentist, and then transformed into binary labels. We trained ResNet classification models on both in vivo and in vitro datasets and used 10-fold cross-validation for estimating the performance and generalizability of the models. We used GradCAM to increase explainability. Results: The tooth-level prevalence of caries lesions was 41% in vitro and 49% in vivo, respectively. Models trained and tested on in vivo data performed significantly better (mean +/- SD accuracy: 0.78 +/- 0.04) than those trained and tested on in vitro data (accuracy: 0.64 +/- 0.15; p &lt; 0.05). When tested in vitro, the models trained in vivo showed significantly lower accuracy (0.70 +/- 0.01; p &lt; 0.01). Similarly, when tested in vivo, models trained in vitro showed significantly lower accuracy (0.61 +/- 0.04; p &lt; 0.05). In both cases, this was due to decreases in sensitivity (by -27% for models trained in vivo and -10% for models trained in vitro). Conclusions: Using in vitro setups for generating NILT imagery and training CNNs comes with low accuracy and generalizability. Clinical significance: Studies employing in vitro imagery for developing deep learning models should be critically appraised for their generalizability. Applicable deep learning models for assessing NILT imagery should be trained on in vivo data.</t>
  </si>
  <si>
    <t>Around the globe, respiratory lung diseases pose a severe threat to human survival. Based on a central goal to reduce contiguous transmission from infected to healthy persons, several technologies have evolved for diagnosing lung pathologies. One of the emerging technologies is the utility of Artificial Intelligence (AI) based on computer vision for processing wide varieties of medical imaging but AI methods without explainability are often treated as a black box. Based on a view to demystifying the rationale influencing AI decisions, this paper designed and developed a novel low-cost explainable deep-learning diagnostic tool for predicting lung disease from medical images. For this, we investigated explainable deep learning (DL) models (conventional DL and vision transformers (ViTs)) for performing prediction of the existence of pneumonia, COVID19, or no-disease from both original and data augmentation (DA)-based medical images (from two chest X-ray datasets). The results show that our experimental consideration of the DA that combines the impact of cropping, rotation, and horizontal flipping (CROP+ROT+HF) for transforming input images and then passed as input to an InceptionV3 architecture yielded a performance that surpasses all the ViTs and other conventional DL approaches in most of the evaluated performance metrics. Overall, the results suggest that the utility of data augmentation schemes aided the DL methods to yield higher classification accuracies. Furthermore, we compared five different class activation mapping (CAM) algorithms (GradCAM, GradCAM++, EigenGradCAM, AblationCAM, and RandomCAM). The result shows that most of the examined CAM algorithms were effective in identifying the attention region containing the existence of pneumonia or COVID-19 from the medical images (chest Xrays). Our developed low-cost AI diagnostic tool (pilot system) can assist medical experts and radiographers in proffering early diagnosis of lung disease. For this, we selected five to seven deep learning models and the explainable algorithms were deployed on a novel web interface implemented via a Gradio framework.</t>
  </si>
  <si>
    <t>Y. Hu; S. Wang; W. Li; J. Peng; Y. Wu; D. Zou; H. Jin</t>
  </si>
  <si>
    <t>Interpreters for GNN-Based Vulnerability Detection: Are We There Yet?</t>
  </si>
  <si>
    <t>PROCEEDINGS OF THE 32ND ACM SIGSOFT INTERNATIONAL SYMPOSIUM ON SOFTWARE TESTING AND ANALYSIS, ISSTA 2023</t>
  </si>
  <si>
    <t>1407-1419</t>
  </si>
  <si>
    <t>10.1145/3597926.3598145</t>
  </si>
  <si>
    <t>Traditional vulnerability detection methods have limitations due to their need for extensive manual labor. Using automated means for vulnerability detection has attracted research interest, especially deep learning, which has achieved remarkable results. Since graphs can better convey the structural feature of code than text, graph neural network (GNN) based vulnerability detection is significantly better than text-based approaches. Therefore, GNN-based vulnerability detection approaches are becoming popular. However, GNN models are close to black boxes for security analysts, so the models cannot provide clear evidence to explain why a code sample is detected as vulnerable or secure. At this stage, many GNN interpreters have been proposed. However, the explanations provided by these interpretations for vulnerability detection models are highly inconsistent and unconvincing to security experts. To address the above issues, we propose principled guidelines to assess the quality of the interpretation approaches for GNN-based vulnerability detectors based on concerns in vulnerability detection, namely, stability, robustness, and effectiveness. We conduct extensive experiments to evaluate the interpretation performance of six famous interpreters (i.e., GNN-LRP, DeepLIFT, GradCAM, GNNExplainer, PGExplainer, and SubGraphX) on four vulnerability detectors (i.e., DeepWukong, Devign, IVDetect, and Reveal). The experimental results show that the target interpreters achieve poor performance in terms of effectiveness, stability, and robustness. For effectiveness, we find that the instance-independent methods outperform others due to their deep insight into the detection model. In terms of stability, the perturbation-based interpretation methods are more resilient to slight changes in model parameters as they are model-agnostic. For robustness, the instance-independent approaches provide more consistent interpretation results for similar vulnerabilities.</t>
  </si>
  <si>
    <t>X. Huang; H. Mori; D. Lukmanto; T.-H. Tran; M. Fukuda; T. Oshika; S. Yousefi; S. Fukuda; J. Sun</t>
  </si>
  <si>
    <t>Objective cataract detection and grading with deep learning based on OCT densitometry</t>
  </si>
  <si>
    <t>X. A. Inbaraj; J.-H. Jeng; Ieee</t>
  </si>
  <si>
    <t>PROCEEDINGS OF THE 6TH INTERNATIONAL CONFERENCE ON INVENTIVE COMPUTATION TECHNOLOGIES (ICICT 2021)</t>
  </si>
  <si>
    <t>This paper presents the conceptually simple, flexible and more suitable framework to demonstrate object localization and object recognition by Mask RCNN along with Grad-CAM (Mask-GradCAM) method that is mainly used to build framework to provide the better visual identification. Because Mask RCNN based method provides a function that take array of pixel values for load the images and aspects of the prediction dictionary such that all class labels, scores, bounding boxes and will plot the image with all these annotations. However, applying this method along with Mask RCNN raises significant challenges such that image pixel issues and quality breaking while producing the heat map. Therefore, this entire system is mentioned as Mask-Grad CAM. This research work considers GradCAM++ and GradCAM methods as basic functionality derivation to implement the Mas k-GradCAM.In this combination of MaskRCNN along with Grad-CAM provide the fine-grained display to generate higher resolution visual representation. Hence this method is presented as Mask-GradCAM.</t>
  </si>
  <si>
    <t>Dementia is a symptom of Alzheimer's Disease (A.D.) that affects many people around the globe each year. There is no effective cure to treat this disease, and it can prove to be deadly to the patient if left untreated or undetected. In this paper, the authors propose a novel DCGAN-based Augmentation and Classification (D-BAC) model approach to identify and classify dementia into various categories depending upon its prominence and severity in the available MRI scans. The proposed detection of early onset of dementia, also referred to as Mild Cognitive Impairment (MCI), is also studied with the help of a novel GAN-augmented dataset. The proposed model can predict MCI with an accuracy of 74% and can classify dementia into four categories depending upon its prominence in the MRI scan. The authors have also utilized Visual Explainable A.I. (XAI) and have used GradCAM to visually represent the internal working of the model. This novel approach helps verify the differentiating features of the MRI scans learned by the CNN model during training. Three different datasets, namely the original dataset, geometrically transformed images, and a GAN-augmented dataset, have been used for performance analysis. A comparison of the performance of the CNN model has been made on these datasets, and the superiority of results using the novel GAN-augmented dataset has been studied and discussed. Moreover, progressive resizing has also been applied on this GAN-dataset, and different CNN architectures have also been used to achieve better performance scores. The model proposed in the end has a training accuracy of 97% and a testing accuracy of 82% when tested using a conventional CNN architecture and has a testing accuracy of 84% and 87% when tested using VGG-16 and VGG-19 architecture, respectively.</t>
  </si>
  <si>
    <t>D.-B. Jeon; D.-E. Song; T.-S. Ha; H.-W. Lee; k. k. yee</t>
  </si>
  <si>
    <t>The Classification of Korean, Chinese and Japanese Ethnicity Using Deep Learning and Face Landmark_x000D_
딥러닝과패이스랜드마크를이용한한‧중‧일인종구분에대한연구</t>
  </si>
  <si>
    <t>Journal of Next-generation Convergence Technology Association</t>
  </si>
  <si>
    <t>2256-2262</t>
  </si>
  <si>
    <t>As a resu lt of learning facial images with EfficientN et based on CN N stru ctu re for Koreans, Chinese, and Japanese who hav e similar appearances among races sharing the same cu ltu re, we confirmed a high accu racy of ab ou t 92%. The high recognition rate of EfficientN et is encou raging, but more efficient methods are req u ired as it takes a lot of time to build and process the model. Therefore, this paper aims to create an algorithm that can quickly analyz e facial featu res that hav e the greatest influ ence on classifying race. To this end, first, the percentage of a specific area is calcu lated by using Face Landmark to dot the entire ou tline of the face and measu ring each distance from the reference point. Second, based on featu res determined by the neu ral netw ork throu gh Grad-CAM among eX pliab le AI (XAI) techniq u es, the ratio values of specific regions are learned by machine learning algorithms and DN N . As a resu lt, it was confirmed that the method using Face Landmark was the highest with an accu racy of ab ou t 63%.</t>
  </si>
  <si>
    <t>Convolutional neural network (CNN)-based methods facilitate data classification but sacrifice physical interpretability due to the complex model architecture and tight inferring integration. The interpretability requirement of our prior CNN-based golf classifier motivates us to explain the performance of the predictions and to discover the class-discriminative, significant regions of interest within the golf swings as well. This can be done by casting the 2D Guided Grad-CAMs to a 1D generalization, which is presented in our current research. We then perform the visualization by inspecting the golf predictions and the involved golf dataset using such a custom 1D Guided Grad-CAM, highlight class-discriminative, significant regions of interest, and finally attempt to present potential interpretations. Specifically, we investigate the attention performance and the corresponding potential attributions by visualizing and by evaluating the predictions given by the classifier and the golf swings from five perspectives, including attention consistency within particular classes, the inspections of misclassified swings, Guided Grad-CAM visualizations at different layers, and the attention shift with respect to temporal resolutions and with respect to sensor usages. We conclude that our visual inspections explain our previous classification performance, that the class-discriminative, significant features can be captured, and that every single prediction has its reasonable interpretation, in terms of the comprehensive experiments. Such exploration can provide a potential possibility of associating the critical regions and features with the physical movements of golf players, which can possibly contribute to golf training. Relevant code files are available at https://github.com/92xianshen/golf-guided-gradcam.</t>
  </si>
  <si>
    <t>C. A. Jimenez-Castano; A. M. alvarez-Meza; O. D. Aguirre-Ospina; D. A. Cardenas-Pena; a. A. Orozco-Gutierrez</t>
  </si>
  <si>
    <t>Random Fourier Features-Based Deep Learning Improvement with Class Activation Interpretability for Nerve Structure Segmentation</t>
  </si>
  <si>
    <t>10.3390/s21227741</t>
  </si>
  <si>
    <t>Peripheral nerve blocking (PNB) is a standard procedure to support regional anesthesia. Still, correct localization of the nerve's structure is needed to avoid adverse effects; thereby, ultrasound images are used as an aid approach. In addition, image-based automatic nerve segmentation from deep learning methods has been proposed to mitigate attenuation and speckle noise ultrasonography issues. Notwithstanding, complex architectures highlight the region of interest lacking suitable data interpretability concerning the learned features from raw instances. Here, a kernel-based deep learning enhancement is introduced for nerve structure segmentation. In a nutshell, a random Fourier features-based approach was utilized to complement three well-known semantic segmentation architectures, e.g., fully convolutional network, U-net, and ResUnet. Moreover, two ultrasound image datasets for PNB were tested. Obtained results show that our kernel-based approach provides a better generalization capability from image segmentation-based assessments on different nerve structures. Further, for data interpretability, a semantic segmentation extension of the GradCam++ for class-activation mapping was used to reveal relevant learned features separating between nerve and background. Thus, our proposal favors both straightforward (shallow) and complex architectures (deeper neural networks).</t>
  </si>
  <si>
    <t>M. M. Jimeno; K. S. Ravi; Z. Jin; D. Oyekunle; G. Ogbole; S. Geethanath</t>
  </si>
  <si>
    <t>MAGNETIC RESONANCE IMAGING</t>
  </si>
  <si>
    <t>10.1016/j.mri.2022.02.002</t>
  </si>
  <si>
    <t>Low-field MR scanners are more accessible in resource-constrained settings where skilled personnel are scarce. Images acquired in such scenarios are prone to artifacts such as wrap-around and Gibbs ringing. Such artifacts negatively affect the diagnostic quality and may be confused with pathology or reduce the region of interest visibility. As a first step solution, ArtifactID identifies wrap-around and Gibbs ringing in low-field brain MRI. We utilized two datasets: 179 T-1-weighted pathological brain images from a 0.36 T scanner and 581 publicly available T-1-weighted brain images. Individual binary classification models were trained to identify through plane wrap-around, in-plane wrap-around, and Gibbs ringing. Visual explanations obtained via the GradCAM method helped develop trust in the wrap-around model. The mean precision and recall metrics across the four implemented models were 97.6% and 92.83% respectively. Agreement analysis of the models and the radiologists' labels returned Cohen's kappa values of 0.768 +/- 0.062, 1.00 +/- 0.000, 0.89 +/- 0.085, and 0.878 +/- 0.103 for the through-plane wrap-around, in-plane wrap-around, and Gibbs ringing models, respectively.</t>
  </si>
  <si>
    <t>Classification of drug-resistant tuberculosis (DR-TB) and drug-sensitive tuberculosis (DS-TB) from chest radiographs remains an open problem. Our previous cross validation performance on publicly available chest X-ray (CXR) data combined with image augmentation, the addition of synthetically generated and publicly available images achieved a performance of 85% AUC with a deep convolutional neural network (CNN). However, when we evaluated the CNN model trained to classify DR-TB and DS-TB on unseen data, significant performance degradation was observed (65% AUC). Hence, in this paper, we investigate the generalizability of our models on images from a held out country's dataset. We explore the extent of the problem and the possible reasons behind the lack of good generalization. A comparison of radiologist-annotated lesion locations in the lung and the trained model's localization of areas of interest, using GradCAM, did not show much overlap. Using the same network architecture, a multi-country classifier was able to identify the country of origin of the X-ray with high accuracy (86%), suggesting that image acquisition differences and the distribution of non-pathological and non-anatomical aspects of the images are affecting the generalization and localization of the drug resistance classification model as well. When CXR images were severely corrupted, the performance on the validation set was still better than 60% AUC. The model overfitted to the data from countries in the cross validation set but did not generalize to the held out country. Finally, we applied a multi-task based approach that uses prior TB lesions location information to guide the classifier network to focus its attention on improving the generalization performance on the held out set from another country to 68% AUC.</t>
  </si>
  <si>
    <t>R. Kestur; A. Kulkarni; R. Bhaskar; P. Sreenivasa; D. Dhanya Sri; A. Choudhary; B. V. Balaji Prabhu; G. Anand; O. Narasipura</t>
  </si>
  <si>
    <t>MangoGAN: a general adversarial network-based deep learning architecture for mango tree crown detection</t>
  </si>
  <si>
    <t>JOURNAL OF APPLIED REMOTE SENSING</t>
  </si>
  <si>
    <t>10.1117/1.JRS.16.014527</t>
  </si>
  <si>
    <t>We present MangoGAN, a general adversarial network (GAN)-based deep learning semantic segmentation model for the detection of mango tree crowns in remotely sensed aerial images. The aerial images are acquired by low-altitude remote sensing carried out using a quadrotor unmanned aerial vehicle in a mango orchard. Aerial images are acquired with a vision spectrum optical sensor, also popularly known as RGB images as the payload. MangoGAN is trained on 1430 images patches of size 240 x 240 pixels. The testing was carried out on 160 images. Results are analyzed using the precision, recall, F1 parameters derived from contingency matrix and by visualization using Gradcam method. The performance of the MangoGAN is compared with peer architectures trained on the same data. MangoGAN outperforms its peer architectures (C) 2022 Society of Photo-Optical Instrumentation Engineers (SPIE)</t>
  </si>
  <si>
    <t>S. Ketabi; P. Agnihotri; H. Zakeri; K. Namdar; F. Khalvati</t>
  </si>
  <si>
    <t>Multimodal Learning for Improving Performance and Explainability of Chest X-Ray Classification</t>
  </si>
  <si>
    <t>MEDICAL IMAGE COMPUTING AND COMPUTER ASSISTED INTERVENTION, MICCAI 2023 WORKSHOPS</t>
  </si>
  <si>
    <t>107-116</t>
  </si>
  <si>
    <t>10.1007/978-3-031-47401-9_11</t>
  </si>
  <si>
    <t>Convolutional Neural Networks (CNNs) applied to medical imaging for disease diagnosis have not yet been widely adopted by radiologists due to the black-box nature of these models, undermining their explainability. A few of the approaches for opening" the black box include the use of heatmaps to assist with visual interpretation, but these heatmaps remain crude. While it has been shown that utilizing radiologists' attention-related data improves the quality of models' attention maps, its quantitative effect on explainability remains unexplored. Moreover, the impact of combining radiology reports as a separate data modality with medical images on model explainability and performance has not been fully explored. In this work, we use an Eye-Gaze dataset along with radiology reports to exhaustively study the impact of adding radiology reports and Eye-Gaze data to X-ray images on the performance and explainability of CNN-based classification models. Additionally, we introduce an explainability metric to quantitatively evaluate the alignment of model attention with radiologist-specified regions of interest (ROIs). We demonstrate that combining the radiology reports with chest X-ray images improves the CNN's performance significantly (12.85%) in detecting Pneumonia and Congestive Heart Failure. In addition, using Eye-Gaze data as a secondary ground truth alongside the class labels enables the generation of attention maps, as means for model explainability, that have a better attention overlap with the corresponding ROIs compared to the popular model-agnostic GradCAM method. Additionally, the explainability of attention heatmaps generated by Eye-Gaze data as a secondary ground truth improves by approximately 11% when more context via other data modalities, such as radiology reports, is added to the X-ray images. In contrast, the addition of radiology reports has negligible effect on the heatmaps created by GradCAM."</t>
  </si>
  <si>
    <t>COMPUTER METHODS AND PROGRAMS IN BIOMEDICINE</t>
  </si>
  <si>
    <t>10.1016/j.cmpb.2023.107718</t>
  </si>
  <si>
    <t>Background and Objectives: Cervical cancer affects around 0.5 million women per year, resulting in over 0.3 million fatalities. Therefore, repetitive screening for cervical cancer is of utmost importance. Computer-assisted diagnosis is key for scaling up cervical cancer screening. Current recognition algorithms, however, perform poorly on the whole-slide image (WSI) analysis, fail to generalize for different staining methods and on uneven distribution for subtype imaging, and provide sub-optimal clinical-level interpretations. Herein, we developed CervixFormer-an end-to-end, multi-scale swin transformer-based adversarial ensemble learning framework to assess pre-cancerous and cancer-specific cervical malignant lesions on WSIs. Methods: The proposed framework consists of (1) a self-attention generative adversarial network (SAGAN) for generating synthetic images during patch-level training to address the class imbalanced problems; (2) a multi-scale transformer-based ensemble learning method for cell identification at various stages, including atypical squamous cells (ASC) and atypical squamous cells of undetermined significance (ASCUS), which have not been demonstrated in previous studies; and (3) a fusion model for concatenating ensemble-based results and producing final outcomes. Results: In the evaluation, the proposed method is first evaluated on a private dataset of 717 annotated samples from six classes, obtaining a high recall and precision of 0.940 and 0.934, respectively, in roughly 1.2 minutes. To further examine the generalizability of CervixFormer, we evaluated it on four independent, publicly available datasets, namely, the CRIC cervix, Mendeley LBC, SIPaKMeD Pap Smear, and Cervix93 Extended Depth of Field image datasets. CervixFormer obtained a fairly better performance on two-, three-, four-, and six-class classification of smear-and cell-level datasets. For clinical interpretation, we used GradCAM to visualize a coarse localization map, highlighting important regions in the WSI. Notably, CervixFormer extracts feature mostly from the cell nucleus and partially from the cytoplasm. Conclusions: In comparison with the existing state-of-the-art benchmark methods, the CervixFormer outperforms them in terms of recall, accuracy, and computing time. &amp; COPY; 2023 Published by Elsevier B.V.</t>
  </si>
  <si>
    <t>A. Khan; L. Janik; H. Gunes; Ieee</t>
  </si>
  <si>
    <t>2022 10TH INTERNATIONAL CONFERENCE ON AFFECTIVE COMPUTING AND INTELLIGENT INTERACTION WORKSHOPS AND DEMOS, ACIIW</t>
  </si>
  <si>
    <t>A. Khare; P. Patel; S. Sankaranarayanan; P. Lorenz; Ieee</t>
  </si>
  <si>
    <t>IEEE INTERNATIONAL CONFERENCE ON COMMUNICATIONS (ICC 2022)</t>
  </si>
  <si>
    <t>COVID which is one of the deadliest Pandemic of this era stuck the entire world which emerged from Wuhan, China in 2019. The pandemic had an extensive impact on unemployment and even deaths. This Pandemic was so new that a lot of medical doctors were involved in research towards diagnosing the chest X-ray images for COVID symptoms. Along with COVID, there have been other complications found like Pneumonia which resulted in the second wave of COVID leading to deaths. There has been good research done by Deep learning researchers in predicting the COVID and also COVID with Pneumonia classification based on Chest X-rays. But the challenge in earlier work is the limited data set which ultimately resulted in higher accuracy. The reason being smaller data set had very fewer number features for training which ultimately resulted in higher accuracy during prediction. So, towards obviating the above-mentioned challenge, we here have collected a fairly larger data set for better prediction. In addition, authors have proposed Convolution Neural Network - Long ShortTerm Memory (CNN-LSTM) model by allowing ResNEt-101 as pretrained model for CNN along with other pretrained deep learning models like ResNEt-101, Inception V3, DenseNET-169, and Inception-ResNET V2. In addition to the prediction of chest X-ray images into different classes as COVID, COVID with Pneumonia, Viral Pneumonia, and Healthy, GradCAM has been used for giving a visual explanation for deep learning model resulting in higher accuracy which are ResNET-101, DenseNET-169 and CNN-LSTM. The GradCAM shows the Model built can predict the image perfectly. These would be stored in Cloud for access by doctors for medication.</t>
  </si>
  <si>
    <t>S. S. Y. Kim; N. Meister; V. V. Ramaswamy; R. Fong; O. Russakovsky</t>
  </si>
  <si>
    <t>HIVE: Evaluating the Human Interpretability of Visual Explanations</t>
  </si>
  <si>
    <t>COMPUTER VISION, ECCV 2022, PT XII</t>
  </si>
  <si>
    <t>280-298</t>
  </si>
  <si>
    <t>10.1007/978-3-031-19775-8_17</t>
  </si>
  <si>
    <t>As AI technology is increasingly applied to high-impact, high-risk domains, there have been a number of new methods aimed at making AI models more human interpretable. Despite the recent growth of interpretability work, there is a lack of systematic evaluation of proposed techniques. In this work, we introduce HIVE (Human Interpretability of Visual Explanations), a novel human evaluation framework that assesses the utility of explanations to human users in AI-assisted decision making scenarios, and enables falsifiable hypothesis testing, cross-method comparison, and human-centered evaluation of visual interpretability methods. To the best of our knowledge, this is the first work of its kind. Using HIVE, we conduct IRB-approved human studies with nearly 1000 participants and evaluate four methods that represent the diversity of computer vision interpretability works: GradCAM, BagNet, ProtoPNet, and ProtoTree. Our results suggest that explanations engender human trust, even for incorrect predictions, yet are not distinct enough for users to distinguish between correct and incorrect predictions. We open-source HIVE to enable future studies and encourage more human-centered approaches to interpretability research. HIVE can be found at https://princetonvisualai.github.io/HIVE.</t>
  </si>
  <si>
    <t>S. P. Koidala; S. R. Manne; K. Ozimba; M. A. Rasheed; S. B. Bashar; M. N. Ibrahim; A. Selvam; J. A. Sahel; J. Chhablani; S. Jana; K. K. Vupparaboina</t>
  </si>
  <si>
    <t>Deep learning based diagnostic quality assessment of choroidal OCT features with expert-evaluated explainability</t>
  </si>
  <si>
    <t>SCIENTIFIC REPORTS</t>
  </si>
  <si>
    <t>10.1038/s41598-023-28512-4</t>
  </si>
  <si>
    <t>Various vision-threatening eye diseases including age-related macular degeneration (AMD) and central serous chorioretinopathy (CSCR) are caused due to the dysfunctions manifested in the highly vascular choroid layer of the posterior segment of the eye. In the current clinical practice, screening choroidal structural changes is widely based on optical coherence tomography (OCT) images. Accordingly, to assist clinicians, several automated choroidal biomarker detection methods using OCT images are developed. However, the performance of these algorithms is largely constrained by the quality of the OCT scan. Consequently, determining the quality of choroidal features in OCT scans is significant in building standardized quantification tools and hence constitutes our main objective. This study includes a dataset of 1593 good and 2581 bad quality Spectralis OCT images graded by an expert. Noting the efficacy of deep-learning (DL) in medical image analysis, we propose to train three state-of-the-art DL models: ResNet18, EfficientNet-B0 and EfficientNet-B3 to detect the quality of OCT images. The choice of these models was inspired by their ability to preserve the salient features across all the layers without information loss. To evaluate the attention of DL models on the choroid, we introduced color transparency maps (CTMs) based on GradCAM explanations. Further, we proposed two subjective grading scores: overall choroid coverage (OCC) and choroid coverage in the visible region(CCVR) based on CTMs to objectively correlate visual explanations vis-a-vis DL model attentions. We observed that the average accuracy and F-scores for the three DL models are greater than 96%. Further, the OCC and CCVR scores achieved for the three DL models under consideration substantiate that they mostly focus on the choroid layer in making the decision. In particular, of the three DL models, EfficientNet-B3 is in close agreement with the clinician's inference. The proposed DL-based framework demonstrated high detection accuracy as well as attention on the choroid layer, where EfficientNet-B3 reported superior performance. Our work assumes significance in bench-marking the automated choroid biomarker detection tools and facilitating high-throughput screening. Further, the methods proposed in this work can be adopted for evaluating the attention of DL-based approaches developed for other region-specific quality assessment tasks.</t>
  </si>
  <si>
    <t>IEEE JOURNAL OF TRANSLATIONAL ENGINEERING IN HEALTH AND MEDICINE</t>
  </si>
  <si>
    <t>D. S. Koshelev</t>
  </si>
  <si>
    <t>Expert System for Fourier Transform Infrared Spectra Recognition Based on a Convolutional Neural Network With Multiclass Classification</t>
  </si>
  <si>
    <t>APPLIED SPECTROSCOPY</t>
  </si>
  <si>
    <t>10.1177/00037028241226732</t>
  </si>
  <si>
    <t>Fourier transform infrared spectroscopy (FT-IR) is a widely used spectroscopic method for routine analysis of substances and compounds. Spectral interpretation of spectra is a labor-intensive process that provides important information about functional groups or bonds present in compounds and complex substances. In this paper, based on deep learning methods of convolutional neural networks, models were developed to determine the presence of 17 classes of functional groups or 72 classes of coupling oscillations in the FT-IR spectra. Using web scanning, the spectra of 14 361 FT-IR spectra of organic molecules were obtained. Several different variants of model architectures with different sizes of feature maps have been tested. Based on the Shapley additive explanations (SHAP) and gradient-weighted class activation mapping (GradCAM) methods, visualization tools have been developed for visualizing and highlighting the areas of absorption bands manifestation for corresponding functional groups or bonds in the spectrum. To determine 17 and 72 classes, the F1-weighted metric, which is the harmonic mean of the class' precision and class' recall weighted by class' fraction, reached 93 and 88%, respectively, when using data on the position of absorption maxima in the spectrum as an additional source layer. The resulting model can be used to facilitate the routine analysis of spectra for all areas such as organic chemistry, materials science, and biology, as well as to facilitate the preparation of the obtained experimental data for publication.</t>
  </si>
  <si>
    <t>EXPERT SYSTEMS</t>
  </si>
  <si>
    <t>Malaria is considered one of the deadliest diseases in today's world, which causes thousands of deaths per year. The parasites responsible for malaria are scientifically known as Plasmodium, which infects the red blood cells in human beings. Diagnosis of malaria requires identification and manual counting of parasitized cells in microscopic blood smears by medical practitioners. Its diagnostic accuracy is primarily affected by extensive scale screening due to the unavailability of resources. State of the art Computer-Aided Diagnostic techniques based on deep learning algorithms such as CNNs, which perform an end to end feature extraction and classification, have widely contributed to various image recognition tasks. In this paper, we evaluate the performance of Mosquito-Net, a custom made convnet to classify the infected and uninfected blood smears for malaria diagnosis. The CADx system can be deployed on IoT and mobile devices due to its fewer parameters and computation power, making it wildly preferable for diagnosis in remote and rural areas that lack medical facilities. Statistical analysis demonstrates that the proposed model achieves greater accuracy than the previous SOTA architectures for malaria diagnosis despite being 10 times lighter in parameters and inference time. Mosquito-Net achieves an AUC of 99.009% and an F-1 score of 96.7% on the validation set.</t>
  </si>
  <si>
    <t>P. G. Kumar; S. A. A. Vijay; V. J. Prakash; A. Paul; A. Nayyar</t>
  </si>
  <si>
    <t>A context-sensitive multi-tier deep learning framework for multimodal sentiment analysis</t>
  </si>
  <si>
    <t>10.1007/s11042-023-17601-1</t>
  </si>
  <si>
    <t>One of the most appealing multidisciplinary research areas in Artificial Intelligence (AI) is Sentiment Analysis (SA). Due to the intricate and complementary interactions between several modalities, Multimodal Sentiment Analysis (MSA) is an extremely difficult work that has a wide range of applications. In the subject of multimodal sentiment analysis, numerous deep learning models and different techniques have been suggested, but they do not investigate the explicit context of words and are unable to model diverse components of a sentence. Hence, the full potential of such diverse data has not been explored. In this research, a Context-Sensitive Multi-Tier Deep Learning Framework (CS-MDF) is proposed for sentiment analysis on multimodal data. The CS-MDF uses a three-tier architecture for extracting context-sensitive information. The first tier utilizes Convolutional Neural Network (CNN) for extracting text-based features, 3D-CNN model for extracting visual features and open-Source Media Interpretation by Large feature-space Extraction (openSMILE) tool kit for audio feature extraction.The first tier focuses on extracting the unimodal features from the utterances. This level of extraction ignores context-sensitive data while determining the feature.CNNs are suitable for text data because they are particularly useful for identifying local patterns and dependencies in data.The second tier uses the features extracted from the first tier.The context-sensitive unimodal characteristics are extracted in this tier using the Bi-directional Gated Recurrent Unit (BiGRU), which is used to comprehend inter-utterance links and uncover contextual evidence.The output from tier two is combined and passed to the third tier, which fuses the features from different modalities and trains a single BiGRU model that provides the final classification.This method applies the BiGRU model to sequential data processing, using the advantages of both modalities and capturing their interdependencies.Experimental results obtained on six real-life datasets (Flickr Images dataset, Multi-View Sentiment Analysis dataset, Getty Images dataset, Balanced Twitter for Sentiment Analysis dataset, CMU-MOSI Dataset) show that the proposed CS-MDF model has achieved better performance compared with ten state-of-the-art approaches, which are validated by F1 score, precision, accuracy, and recall metrics.An ablation study is carried out on the proposed framework that demonstrates the viability of the design. The GradCAM visualization technique is applied to visualize the aligned input image-text pairs learned by the proposed CS-MDF model.</t>
  </si>
  <si>
    <t>I. Lahsaini; M. El Habib Daho; M. A. Chikh</t>
  </si>
  <si>
    <t>PATTERN RECOGNITION LETTERS</t>
  </si>
  <si>
    <t>10.1016/j.patrec.2021.08.035</t>
  </si>
  <si>
    <t>COVID-19 is an infectious and contagious virus. As of this writing, more than 160 million people have been infected since its emergence, including more than 125,0 0 0 in Algeria. In this work, We first collected a dataset of 4986 COVID and non-COVID images confirmed by RT-PCR tests at Tlemcen hospital in Algeria. Then we performed a transfer learning on deep learning models that got the best results on the ImageNet dataset, such as DenseNet121, DenseNet201, VGG16, VGG19, Inception Resnet-V2, and Xception, in order to conduct a comparative study. Therefore, We have proposed an explainable model based on the DenseNet201 architecture and the GradCam explanation algorithm to detect COVID-19 in chest CT images and explain the output decision. Experiments have shown promising results and proven that the introduced model can be beneficial for diagnosing and following up patients with COVID-19. (c) 2021 Elsevier B.V. All rights reserved.</t>
  </si>
  <si>
    <t>49064-49079</t>
  </si>
  <si>
    <t>As neurodegenerative disease pathological hallmarks have been reported in both grey matter (GM) and white matter (WM) with different density distributions, automating the segmentation process of GM/WM would be extremely advantageous for aiding in neuropathologic deep phenotyping. Standard segmentation methods typically involve manual annotations, where a trained researcher traces the delineation of GM/WM in ultra-high-resolution Whole Slide Images (WSIs). This method can be time-consuming and subjective, preventing a scalable analysis on pathology images. This paper proposes an automated segmentation pipeline (BrainSec) combining a Convolutional Neural Network (CNN) module for segmenting GM/WM regions and a post-processing module to remove artifacts/residues of tissues. The final output generates XML annotations that can be visualized via Aperio ImageScope. First, we investigate two baseline models for medical image segmentation: FCN, and U-Net. Then we propose a patch-based approach, BrainSec, to classify the GM/WM/background regions. We demonstrate BrainSec is robust and has reliable performance by testing it on over 180 WSIs that incorporate numerous unique cases as well as distinct neuroanatomic brain regions. We also apply gradient-weighted class activation mapping (GradCAM) to interpret the segmentation masks and provide relevant explanations and insights. In addition, we have integrated BrainSec with an existing Amyloid-beta pathology classification model into a unified framework (without incurring significant computation complexity) to identify pathologies, visualize their distributions, and quantify each type of pathologies in segmented GM/WM regions, respectively.</t>
  </si>
  <si>
    <t>T. Li; N. Chen; Y. Wen; X. Xu; C. Ye; S. Zhang; D. Qian; Y. Liang</t>
  </si>
  <si>
    <t>Differentiation of primary open angle-closure glaucoma and primary open angle glaucoma based on disc image with a deep learning method</t>
  </si>
  <si>
    <t>Y. Li; T. Bao; B. Xu; X. Shu; Y. Zhou; Y. Du; R. Wang; K. Zhang</t>
  </si>
  <si>
    <t>A deep residual neural network framework with transfer learning for concrete dams patch-level crack classification and weakly-supervised localization</t>
  </si>
  <si>
    <t>MEASUREMENT</t>
  </si>
  <si>
    <t>10.1016/j.measurement.2021.110641</t>
  </si>
  <si>
    <t>Under the continuous cycle of the external and environmental loads, the material property of dam structures will inevitably degrade and various structural defects will occur frequently. Among them, crack is one of the most threatening structural diseases, which has aroused extensive research attention. Identifying these structural cracks with high efficiency and accuracy is of great significance to the reinforcement of dams and maintenance of national infrastructure investment. This paper proposes an automatic classification and weakly-supervised localization paradigm for structural cracks in concrete dams based on deep residual neural networks and transfer learning. Inspired by ImageNet Challenge, this paper firstly proposes a structural crack ImageNet containing cracks collected from various types of civil infrastructures. Considering the difference between structural crack images and natural images, a combined two-stage transfer learing strategy is proposed. Specifically, more convolutional layers of the pre-trained model on the ImageNet are unfrozen and fine-tuned on the proposed structural ImageNet. To improve the model interpretability, Gradient-weighted class activation mapping(GradCAM) approach is utilized to classify and weakly-supervised locate the underlying surface cracks on an arch dam without relying on refined manual data annotations. The experimental results demonstrate that the proposed framework can effectively identify structural cracks of concrete dams with high accuracy and recall without relying on refined manual annotations under strong environmental background inference conditions. The proposed framework can be equipped with image acquisition equipment to realize real-time detection and localization of concrete dam structural defects.</t>
  </si>
  <si>
    <t>Y. Lin; M. Chen; W. Wang; B. Wu; K. Li; B. Lin; H. Liu; X. He; Ieee</t>
  </si>
  <si>
    <t>2023 IEEE/CVF CONFERENCE ON COMPUTER VISION AND PATTERN RECOGNITION (CVPR)</t>
  </si>
  <si>
    <t>Weakly supervised semantic segmentation (WSSS) with image-level labels is a challenging task. Mainstream approaches follow a multi-stage framework and suffer from high training costs. In this paper, we explore the potential of Contrastive Language-Image Pre-training models (CLIP) to localize different categories with only image-level labels and without further training. To efficiently generate high-quality segmentation masks from CLIP, we propose a novel WSSS framework called CLIP-ES. Our framework improves all three stages of WSSS with special designs for CLIP: 1) We introduce the softmax function into GradCAM and exploit the zero-shot ability of CLIP to suppress the confusion caused by non-target classes and backgrounds. Meanwhile, to take full advantage of CLIP, we re-explore text inputs under the WSSS setting and customize two text-driven strategies: sharpness-based prompt selection and synonym fusion. 2) To simplify the stage of CAM refinement, we propose a real-time class-aware attention-based affinity (CAA) module based on the inherent multi-head self-attention (MHSA) in CLIP-ViTs. 3) When training the final segmentation model with the masks generated by CLIP, we introduced a confidence-guided loss (CGL) focus on confident regions. Our CLIP-ES achieves SOTA performance on Pascal VOC 2012 and MS COCO 2014 while only taking 10% time of previous methods for the pseudo mask generation. Code is available at https://github.com/linyq2117/CLIP-ES.</t>
  </si>
  <si>
    <t>H. Liu; F. Guan; T. Liu; L. Yang; L. Fan; X. Liu; H. Luo; N. Wu; B. Yao; J. Tian; H. Huang</t>
  </si>
  <si>
    <t>MECE: a method for enhancing the catalytic efficiency of glycoside hydrolase based on deep neural networks and molecular evolution</t>
  </si>
  <si>
    <t>SCIENCE BULLETIN</t>
  </si>
  <si>
    <t>2793-2805</t>
  </si>
  <si>
    <t>10.1016/j.scib.2023.09.039</t>
  </si>
  <si>
    <t>The demand for high efficiency glycoside hydrolases (GHs) is on the rise due to their various industrial applications. However, improving the catalytic efficiency of an enzyme remains a challenge. This investigation showcases the capability of a deep neural network and method for enhancing the catalytic efficiency (MECE) platform to predict mutations that improve catalytic activity in GHs. The MECE platform includes DeepGH, a deep learning model that is able to identify GH families and functional residues. This model was developed utilizing 119 GH family protein sequences obtained from the Carbohydrate-Active enZYmes (CAZy) database. After undergoing ten-fold cross-validation, the DeepGH models exhibited a predictive accuracy of 96.73%. The utilization of gradient-weighted class activation mapping (GradCAM) was used to aid us in comprehending the classification features, which in turn facilitated the creation of enzyme mutants. As a result, the MECE platform was validated with the development of CHIS1754-MUT7, a mutant that boasts seven amino acid substitutions. The kcat/Kmof CHIS1754-MUT7 was found to be 23.53 times greater than that of the wild type CHIS1754. Due to its high computational efficiency and low experimental cost, this method offers significant advantages and presents a novel approach for the intelligent design of enzyme catalytic efficiency. As a result, it holds great promise for a wide range of applications.(c) 2023 Science China Press. Published by Elsevier B.V. and Science China Press. All rights reserved.</t>
  </si>
  <si>
    <t>Application of explainable artificial intelligence for healthcare: A systematic review of the last decade (2011-2022)</t>
  </si>
  <si>
    <t>10.1016/j.cmpb.2022.107161</t>
  </si>
  <si>
    <t>Background and objectives: Artificial intelligence (AI) has branched out to various applications in health-care, such as health services management, predictive medicine, clinical decision-making, and patient data and diagnostics. Although AI models have achieved human-like performance, their use is still limited because they are seen as a black box. This lack of trust remains the main reason for their low use in practice, especially in healthcare. Hence, explainable artificial intelligence (XAI) has been introduced as a technique that can provide confidence in the model's prediction by explaining how the prediction is derived, thereby encouraging the use of AI systems in healthcare. The primary goal of this review is to provide areas of healthcare that require more attention from the XAI research community.Methods: Multiple journal databases were thoroughly searched using PRISMA guidelines 2020. Studies that do not appear in Q1 journals, which are highly credible, were excluded. Results: In this review, we surveyed 99 Q1 articles covering the following XAI techniques: SHAP, LIME, GradCAM, LRP, Fuzzy classifier, EBM, CBR, rule-based systems, and others.Conclusion: We discovered that detecting abnormalities in 1D biosignals and identifying key text in clini-cal notes are areas that require more attention from the XAI research community. We hope this is review will encourage the development of a holistic cloud system for a smart city.(c) 2022 Elsevier B.V. All rights reserved.</t>
  </si>
  <si>
    <t>F. Long; S. Jiang; E. Bar-Ziv; V. M. Zavala</t>
  </si>
  <si>
    <t>Robust plastic waste classification using wavelet transform multi-resolution analysis and convolutional neural networks</t>
  </si>
  <si>
    <t>COMPUTERS &amp; CHEMICAL ENGINEERING</t>
  </si>
  <si>
    <t>10.1016/j.compchemeng.2023.108516</t>
  </si>
  <si>
    <t>Mid-infrared spectroscopy (MIR) using photon up-conversion provides advantages over near-infrared spectroscopy (NIR) for plastic waste recycling, including comparable data collection speed and the ability to detect black plastics. However, high-speed MIR spectra suffer from the presence of significant noise. While convolutional neural networks (CNNs) have been utilized for accurate classification of noisy MIR spectra, the analysis of extracted features by the CNN has received less attention. In this study, we analyzed features extracted by a CNN from high-speed MIR spectra collected at 200 spectra per second. Visualizing salient features through the GradCAM method revealed that, although the CNN model achieved 100% accuracy, the predictions were not reliable or robust, as the model is susceptible to noise interference. To address this limitation, we propose a wavelet transform-based multi-resolution analysis (MRA) as a preprocessing method for noisy MIR spectra. We show that MRA reconstruction effectively captures features related to characteristic IR peaks, enabling the CNN model to extract informative features from noisy MIR spectra and significantly improves the prediction fidelity and robustness.</t>
  </si>
  <si>
    <t>J. Luna; E. Pelaez; F. R. Loayza; A. Saravia; I. Obeso; V. Asanza</t>
  </si>
  <si>
    <t>115-120</t>
  </si>
  <si>
    <t>In Parkinson's disease (PD) several neuropsychiatric conditions are highly frequent including impulse control disorders (ICD). Driven by medication's side-effects, these disorders lead to issues in self-control over rewarding cues that produce excessive behavior. Yet, objective means to detect and diagnose presence and severity of impulsivity in PD is lacking. The method developed in this work seeks to identify anatomical patterns in magnetic resonance images, which allow to classify PD with ICD vs PD patients using deep learning techniques. The proposed method includes pre-processing techniques to standardize magnetic resonance images. Different experiments using a variety of deep learning architectures were designed to classify the patterns. A GradCAM technique was also used for identifying the regions where the anatomical patterns were identified, which differentiate the two groups. We reveal an objective way to predict the presence of patterns associated to ICD in anatomical scans. Our model achieved an accuracy of 97.4% using Convolutional Neuronal Networks with an ensemble architecture; a novel objective clinical tool to diagnose ICD and better characterize detection of this severe neuropsychiatric problem.</t>
  </si>
  <si>
    <t>IEEE TRANSACTIONS ON MEDICAL IMAGING</t>
  </si>
  <si>
    <t>M. Mamalakis; K. Dwivedi; M. Sharkey; S. Alabed; D. Kiely; A. J. Swift</t>
  </si>
  <si>
    <t>A transparent artificial intelligence framework to assess lung disease in pulmonary hypertension</t>
  </si>
  <si>
    <t>10.1038/s41598-023-30503-4</t>
  </si>
  <si>
    <t>Recent studies have recognized the importance of characterizing the extent of lung disease in pulmonary hypertension patients by using Computed Tomography. The trustworthiness of an artificial intelligence system is linked with the depth of the evaluation in functional, operational, usability, safety and validation dimensions. The safety and validation of an artificial tool is linked to the uncertainty estimation of the model's prediction. On the other hand, the functionality, operation and usability can be achieved by explainable deep learning approaches which can verify the learning patterns and use of the network from a generalized point of view. We developed an artificial intelligence framework to map the 3D anatomical models of patients with lung disease in pulmonary hypertension. To verify the trustworthiness of the framework we studied the uncertainty estimation of the network's prediction, and we explained the learning patterns of the network. Therefore, a new generalized technique combining local explainable and interpretable dimensionality reduction approaches (PCA-GradCam, PCA-Shape) was developed. Our open-source software framework was evaluated in unbiased validation datasets achieving accurate, robust and generalized results.</t>
  </si>
  <si>
    <t>D. McAllister; M. Mendez; A. Bermudez; P. N. Tyrrell</t>
  </si>
  <si>
    <t>Visualization of Layers Within a Convolutional Neural Network Using Gradient Activation Maps</t>
  </si>
  <si>
    <t>UNIVERSITY OF TORONTO JOURNAL OF UNDERGRADUATE LIFE SCIENCES</t>
  </si>
  <si>
    <t>10.33137/juls.v14i1.35833</t>
  </si>
  <si>
    <t>Introduction: Convolutional neural networks (CNNs) are machine learning tools that have great potential in the field of medical imaging. However, it is often regarded as a black box" as the process that is used by the machine to acquire a result is not transparent. It would be valuable to find a method to be able to understand how the machine comes to its decision. Therefore, the purpose of this study is to examine how effective gradient-weighted class activation mapping (gradCAM) visualizations are for certain layers in a CNN-based dental x-ray artifact prediction model. Methods: To tackle this project, Python code using PyTorch trained a CNN to classify dental plates as unusable or usable depending on the presence of artifacts. Furthermore, Python using PyTorch was also used to overlay grad-CAM visualizations on the given input images for various layers within the model. One image with seventeen different overlays of artifacts was used in this study. Results: In earlier layers, the model appeared to focus on general features such as lines and edges of the teeth, while in later layers, the model was more interested in detailed aspects of the image. All images that contained artifacts resulted in the model focusing on more detailed areas of the image rather than the artifacts themselves. Whereas the images without artifacts resulted in the model focusing on the visualization of areas that surrounded the teeth. Discussion and Conclusion: As subsequent layers examined more detailed aspects of the image as shown by the grad-CAM visualizations, they provided better insight into how the model processes information when it is making its classifications. Since all the images with artifacts showed similar trends in the visualizations of the various layers, it provides evidence to suggest that the location and size of the artifact does not affect the model's pattern recognition and image classification."</t>
  </si>
  <si>
    <t>A. Menon; P. Singh; P. K. Vinod; C. V. Jawahar</t>
  </si>
  <si>
    <t>Exploring Histological Similarities Across Cancers From a Deep Learning Perspective</t>
  </si>
  <si>
    <t>10.3389/fonc.2022.842759</t>
  </si>
  <si>
    <t>Histopathology image analysis is widely accepted as a gold standard for cancer diagnosis. The Cancer Genome Atlas (TCGA) contains large repositories of histopathology whole slide images spanning several organs and subtypes. However, not much work has gone into analyzing all the organs and subtypes and their similarities. Our work attempts to bridge this gap by training deep learning models to classify cancer vs. normal patches for 11 subtypes spanning seven organs (9,792 tissue slides) to achieve high classification performance. We used these models to investigate their performances in the test set of other organs (cross-organ inference). We found that every model had a good cross-organ inference accuracy when tested on breast, colorectal, and liver cancers. Further, high accuracy is observed between models trained on the cancer subtypes originating from the same organ (kidney and lung). We also validated these performances by showing the separability of cancer and normal samples in a high-dimensional feature space. We further hypothesized that the high cross-organ inferences are due to shared tumor morphologies among organs. We validated the hypothesis by showing the overlap in the Gradient-weighted Class Activation Mapping (GradCAM) visualizations and similarities in the distributions of nuclei features present within the high-attention regions.</t>
  </si>
  <si>
    <t>O. Mey; D. Neufeld</t>
  </si>
  <si>
    <t>Explainable AI Algorithms for Vibration Data-Based Fault Detection: Use Case-Adadpted Methods and Critical Evaluation</t>
  </si>
  <si>
    <t>10.3390/s22239037</t>
  </si>
  <si>
    <t>Analyzing vibration data using deep neural networks is an effective way to detect damages in rotating machinery at an early stage. However, the black-box approach of these methods often does not provide a satisfactory solution because the cause of classifications is not comprehensible to humans. Therefore, this work investigates the application of the explainable AI (XAI) algorithms to convolutional neural networks for vibration-based condition monitoring. Thus, the three XAI algorithms GradCAM, LRP and LIME with a modified perturbation strategy are applied to classifications based on the Fourier transform as well as the order analysis of the vibration signal. The following visualization as frequency-RPM maps and order-RPM maps allows for an effective assessment of saliency values for variable periodicity of the data, which translates to a varying rotation speed of a real-world machine. To compare the explanatory power of the XAI methods, investigations are first carried out with a synthetic data set with known class-specific characteristics. Both a visual and a quantitative analysis of the resulting saliency maps are presented. Then, a real-world data set for vibration-based imbalance classification on an electric motor, which runs at a broad range of rotation speeds, is used. The results indicate that the investigated algorithms are each partially successful in providing sample-specific saliency maps which highlight class-specific features and omit features which are not relevant for classification.</t>
  </si>
  <si>
    <t>Z. Mi; X. Zhang; J. Su; D. Han; B. Su</t>
  </si>
  <si>
    <t>Wheat Stripe Rust Grading by Deep Learning With Attention Mechanism and Images From Mobile Devices</t>
  </si>
  <si>
    <t>FRONTIERS IN PLANT SCIENCE</t>
  </si>
  <si>
    <t>10.3389/fpls.2020.558126</t>
  </si>
  <si>
    <t>Wheat stripe rust is one of the main wheat diseases worldwide, which has significantly adverse effects on wheat yield and quality, posing serious threats on food security. Disease severity grading plays a paramount role in stripe rust disease management including breeding disease-resistant wheat varieties. Manual inspection is time-consuming, labor-intensive and prone to human errors, therefore, there is a clearly urgent need to develop more effective and efficient disease grading strategy by using automated approaches. However, the differences between wheat leaves of different levels of stripe rust infection are usually tiny and subtle, and, as a result, ordinary deep learning networks fail to achieve satisfying performance. By formulating this challenge as a fine-grained image classification problem, this study proposes a novel deep learning network C-DenseNet which embeds Convolutional Block Attention Module (CBAM) in the densely connected convolutional network (DenseNet). The performance of C-DenseNet and its variants is demonstratedviaa newly collected wheat stripe rust grading dataset (WSRgrading dataset) at Northwest A&amp;F University, Shaanxi Province, China, which contains a total of 5,242 wheat leaf images with 6 levels of stripe rust infection. The dataset was collected by using various mobile devices in the natural field condition. Comparative experiments show that C-DenseNet with a test accuracy of 97.99% outperforms the classical DenseNet (92.53%) and ResNet (73.43%). GradCAM++ network visualization also shows that C-DenseNet is able to pay more attention to the key areas in making the decision. It is concluded that C-DenseNet with an attention mechanism is suitable for wheat stripe rust disease grading in field conditions.</t>
  </si>
  <si>
    <t>A. Miere; J.-B. Excoffier; C. Pallonne; M. F. Ansary; S. Kerr; M. Ortala; E. Souied</t>
  </si>
  <si>
    <t>Deep learning-based classification of diabetic retinopathy with or without macular ischemia using optical coherence tomography angiography images</t>
  </si>
  <si>
    <t>D. Misra; T. Nalamada; A. U. Arasanipalai; Q. Hou; Ieee</t>
  </si>
  <si>
    <t>2021 IEEE WINTER CONFERENCE ON APPLICATIONS OF COMPUTER VISION WACV 2021</t>
  </si>
  <si>
    <t>Benefiting from the capability of building inter-dependencies among channels or spatial locations, attention mechanisms have been extensively studied and broadly used in a variety of computer vision tasks recently. In this paper, we investigate light-weight but effective attention mechanisms and present triplet attention, a novel method for computing attention weights by capturing cross-dimension interaction using a three-branch structure. For an input tensor, triplet attention builds inter-dimensional dependencies by the rotation operation followed by residual transformations and encodes inter-channel and spatial information with negligible computational overhead. Our method is simple as well as efficient and can be easily plugged into classic backbone networks as an add-on module. We demonstrate the effectiveness of our method on various challenging tasks including image classification on ImageNet-1k and object detection on MSCOCO and PASCAL VOC datasets. Furthermore, we provide extensive insight into the performance of triplet attention by visually inspecting the GradCAM and GradCAM++ results. The empirical evaluation of our method supports our intuition on the importance of capturing dependencies across dimensions when computing attention weights. Code for this paper can be publicly accessed at https://github. com/LandskapeAI/triplet-attention.</t>
  </si>
  <si>
    <t>M. Moeller; M. Kohl; S. Braunewell; F. Kofler; B. Wiestler; J. S. Kirschke; B. H. Menze; M. Piraud</t>
  </si>
  <si>
    <t>Reliable Saliency Maps for Weakly-Supervised Localization of Disease Patterns</t>
  </si>
  <si>
    <t>INTERPRETABLE AND ANNOTATION-EFFICIENT LEARNING FOR MEDICAL IMAGE COMPUTING, IMIMIC 2020, MIL3ID 2020, LABELS 2020</t>
  </si>
  <si>
    <t>63-72</t>
  </si>
  <si>
    <t>10.1007/978-3-030-61166-8_7</t>
  </si>
  <si>
    <t>Training convolutional neural networks with image-based labels leads to black-box image classification results. Saliency maps offer localization cues of class-relevant patterns, without requiring costly pixel-based labels. We show a failure mode for recently proposed weakly supervised localization models, e.g., models highlight the wrong input region, but classify correctly across all samples. Subsequently, we tested multiple architecture modifications, and propose two simple, but effective training approaches based on two-stage-learning and optional bounding box guidance, that avoid such misleading projections. Our saliency maps localize pneumonia patterns reliably and significantly better than gradCAM in terms of localization scores and expert radiologist's ratings.</t>
  </si>
  <si>
    <t>K. A. Moinuddin; F. Havugimana; R. Al-Fahad; G. M. M. Bidelman; M. Yeasin</t>
  </si>
  <si>
    <t>Unraveling Spatial-Spectral Dynamics of Speech Categorization Speed Using Convolutional Neural Networks</t>
  </si>
  <si>
    <t>BRAIN SCIENCES</t>
  </si>
  <si>
    <t>10.3390/brainsci13010075</t>
  </si>
  <si>
    <t>The process of categorizing sounds into distinct phonetic categories is known as categorical perception (CP). Response times (RTs) provide a measure of perceptual difficulty during labeling decisions (i.e., categorization). The RT is quasi-stochastic in nature due to individuality and variations in perceptual tasks. To identify the source of RT variation in CP, we have built models to decode the brain regions and frequency bands driving fast, medium and slow response decision speeds. In particular, we implemented a parameter optimized convolutional neural network (CNN) to classify listeners' behavioral RTs from their neural EEG data. We adopted visual interpretation of model response using Guided-GradCAM to identify spatial-spectral correlates of RT. Our framework includes (but is not limited to): (i) a data augmentation technique designed to reduce noise and control the overall variance of EEG dataset; (ii) bandpower topomaps to learn the spatial-spectral representation using CNN; (iii) large-scale Bayesian hyper-parameter optimization to find best performing CNN model; (iv) ANOVA and posthoc analysis on Guided-GradCAM activation values to measure the effect of neural regions and frequency bands on behavioral responses. Using this framework, we observe that alpha-beta (10-20 Hz) activity over left frontal, right prefrontal/frontal, and right cerebellar regions are correlated with RT variation. Our results indicate that attention, template matching, temporal prediction of acoustics, motor control, and decision uncertainty are the most probable factors in RT variation.</t>
  </si>
  <si>
    <t>N. S. Molinski; M. Kenda; C. Leithner; J. Nee; C. Storm; M. Scheel; A. Meddeb</t>
  </si>
  <si>
    <t>Deep learning-enabled detection of hypoxic-ischemic encephalopathy after cardiac arrest in CT scans: a comparative study of 2D and 3D approaches</t>
  </si>
  <si>
    <t>FRONTIERS IN NEUROSCIENCE</t>
  </si>
  <si>
    <t>10.3389/fnins.2024.1245791</t>
  </si>
  <si>
    <t>Objective To establish a deep learning model for the detection of hypoxic-ischemic encephalopathy (HIE) features on CT scans and to compare various networks to determine the best input data format.Methods 168 head CT scans of patients after cardiac arrest were retrospectively identified and classified into two categories: 88 (52.4%) with radiological evidence of severe HIE and 80 (47.6%) without signs of HIE. These images were randomly divided into a training and a test set, and five deep learning models based on based on Densely Connected Convolutional Networks (DenseNet121) were trained and validated using different image input formats (2D and 3D images).Results All optimized stacked 2D and 3D networks could detect signs of HIE. The networks based on the data as 2D image data stacks provided the best results (S100: AUC: 94%, ACC: 79%, S50: AUC: 93%, ACC: 79%). We provide visual explainability data for the decision making of our AI model using Gradient-weighted Class Activation Mapping.Conclusion Our proof-of-concept deep learning model can accurately identify signs of HIE on CT images. Comparing different 2D- and 3D-based approaches, most promising results were achieved by 2D image stack models. After further clinical validation, a deep learning model of HIE detection based on CT images could be implemented in clinical routine and thus aid clinicians in characterizing imaging data and predicting outcome.</t>
  </si>
  <si>
    <t>Kernel-weighted contribution: a method of visual attribution for 3D deep learning segmentation in medical imaging</t>
  </si>
  <si>
    <t>10.1117/1.JMI.10.5.054001</t>
  </si>
  <si>
    <t>Purpose: Explaining deep learning model decisions, especially those for medical image segmentation, is a critical step toward the understanding and validation that will enable these powerful tools to see more widespread adoption in healthcare. We introduce kernel-weighted contribution, a visual explanation method for three-dimensional medical image segmentation models that produces accurate and interpretable explanations. Unlike previous attribution methods, kernel-weighted contribution is explicitly designed for medical image segmentation models and assesses feature importance using the relative contribution of each considered activation map to the predicted segmentation.Approach: We evaluate our method on a synthetic dataset that provides complete knowledge over input features and a comprehensive explanation quality metric using this ground truth. Our method and three other prevalent attribution methods were applied to five different model layer combinations to explain segmentation predictions for 100 test samples and compared using this metric.Results: Kernel-weighted contribution produced superior explanations of obtained image segmentations when applied to both encoder and decoder sections of a trained model as compared to other layer combinations (p &lt; 0.0005). In between-method comparisons, kernel-weighted contribution produced superior explanations compared with other methods using the same model layers in four of five experiments (p &lt; 0.0005) and showed equivalently superior performance to GradCAM++ when only using non-transpose convolution layers of the model decoder (p = 0.008).Conclusion: The reported method produced explanations of superior quality uniquely suited to fully utilize the specific architectural considerations present in image and especially medical image segmentation models. Both the synthetic dataset and implementation of our method are available to the research community. (c) 2023 Society of Photo-Optical Instrumentation Engineers (SPIE)</t>
  </si>
  <si>
    <t>L. Munoz-Saavedra; E. Escobar-Linero; J. Civit-Masot; F. Luna-Perejon; A. Civit; M. Dominguez-Morales</t>
  </si>
  <si>
    <t>A Robust Ensemble of Convolutional Neural Networks for the Detection of Monkeypox Disease from Skin Images</t>
  </si>
  <si>
    <t>10.3390/s23167134</t>
  </si>
  <si>
    <t>Monkeypox is a smallpox-like disease that was declared a global health emergency in July 2022. Because of this resemblance, it is not easy to distinguish a monkeypox rash from other similar diseases; however, due to the novelty of this disease, there are no widely used databases for this purpose with which to develop image-based classification algorithms. Therefore, three significant contributions are proposed in this work: first, the development of a publicly available dataset of monkeypox images; second, the development of a classification system based on convolutional neural networks in order to automatically distinguish monkeypox marks from those produced by other diseases; and, finally, the use of explainable AI tools for ensemble networks. For point 1, free images of monkeypox cases and other diseases have been searched in government databases and processed until we are left with only a section of the skin of the patients in each case. For point 2, various pre-trained models were used as classifiers and, in the second instance, combinations of these were used to form ensembles. And, for point 3, this is the first documented time that an explainable AI technique (like GradCAM) is applied to the results of ensemble networks. Among all the tests, the accuracy reaches 93% in the case of single pre-trained networks, and up to 98% using an ensemble of three networks (ResNet50, EfficientNetB0, and MobileNetV2). Comparing these results with previous work, a substantial improvement in classification accuracy is observed.</t>
  </si>
  <si>
    <t>IEEE TRANSACTIONS ON SEMICONDUCTOR MANUFACTURING</t>
  </si>
  <si>
    <t>Root cause analysis (RCA) of failures is mandatory to obtain the reliability and productivity of LSIs. Although analyzing layout-induced defects is crucial to optimize design rules and to predict unknown defects, it is a challenging task due to the difficulty in explaining the relationship between defects and circuit layouts. We applied convolutional neural networks (CNNs) to classify LSI layout images to perform the RCA of layout-induced defects in a previous study. However, due to the low resolution of images, actual defect positions were not clearly distinguished. In the present study, we use image clips of different sizes and resolutions for the CNN classification. Experimental results indicate that the validity of the extracted layout features depends on the resolution of image clips. Using the visual explanation technique GradCAM++, the features of defective layouts can be accurately captured in local areas when CNN models are trained on smaller image clips with higher resolution. These layout features included a group of patterns with their surroundings. Conversely, utilizing smaller-size clips deteriorates the classification accuracy due to the incorporation of less information from the images. In the conducted experiments, even in the case of using smaller clips, acceptable performance (the detection rate of defect positions DTR congruent to 90%, and the risk-image classification rate RCR congruent to 10%) can be obtained by increasing the size of training datasets. Partial layouts extracted as features of defective layouts can then be used in RCA and in designing future products.</t>
  </si>
  <si>
    <t>M. S. Nagaraju; B. S. Rao</t>
  </si>
  <si>
    <t>An Outlook of Medical Image Analysis via Transfer Learning Approaches</t>
  </si>
  <si>
    <t>1463-1474</t>
  </si>
  <si>
    <t>10.18280/ts.390502</t>
  </si>
  <si>
    <t>Artificial intelligence advancements, particularly deep learning algorithms, are helpful for identifying, classifying, and rating designs in clinical images. Clinical diagnosis and scientific research both rely heavily on medical image analysis. The diagnosis of medical conditions frequently involves medical image acquisition techniques like pathology, computed tomography, magnetic resonance imaging, ultrasound, and x-ray. Transfer learning stands out from other deep learning techniques thanks to its simplicity, effectiveness, affordable training costs, and capacity to escape the dataset curse. The diagnosis of anomalies including Alzheimer's disease, diabetic retinopathy, colon cancer, breast cancer, and pulmonary nodule can be made using the medical imaging techniques combined with datasets and computer vision. These approaches are helpful in non-invasive qualitative and quantitative analysis on patients. However, labelling in medical images are still scarce. This paper mainly reviews the application of transfer learning in medical image analysis. Beginners can benefit from this review paper's guidance as they gain a thorough and organized understanding of transfer learning applications for the analysis of medical images. By establishing laws that will aid future advancements in medical image processing, policymakers in adjacent sectors will also profit from the trend of transfer learning in medical imaging.</t>
  </si>
  <si>
    <t>A. K. Narayan; C. M. DeBenedectis</t>
  </si>
  <si>
    <t>Reply to How We Define Diversity""</t>
  </si>
  <si>
    <t>AMERICAN JOURNAL OF ROENTGENOLOGY</t>
  </si>
  <si>
    <t>396-396</t>
  </si>
  <si>
    <t>10.2214/AJR.23.29377</t>
  </si>
  <si>
    <t>2022 IEEE WORLD AI IOT CONGRESS (AIIOT)</t>
  </si>
  <si>
    <t>10.1109/AIIOT54504.2022.9817375</t>
  </si>
  <si>
    <t>P. C. Neto; A. F. Sequeira; J. S. Cardoso; S. O. C. Ieee Comp</t>
  </si>
  <si>
    <t>2022 IEEE/CVF WINTER CONFERENCE ON APPLICATIONS OF COMPUTER VISION WORKSHOPS (WACVW 2022)</t>
  </si>
  <si>
    <t>Presentation attacks are recurrent threats to biometric systems, where impostors attempt to bypass these systems. Humans often use background information as contextual cues for their visual system. Yet, regarding face-based systems, the background is often discarded, since face presentation attack detection (PAD) models are mostly trained with face crops. This work presents a comparative study of face PAD models (including multi-task learning, adversarial training and dynamic frame selection) in two settings: with and without crops. The results show that the performance is consistently better when the background is present in the images. The proposed multi-task methodology beats the state-of-the-art results on the ROSE-Youtu dataset by a large margin with an equal error rate of 0.2%. Furthermore, we analyze the models' predictions with Grad-CAM++ with the aim to investigate to what extent the models focus on background elements that are known to be useful for human inspection. From this analysis we can conclude that the background cues are not relevant across all the attacks. Thus, showing the capability of the model to leverage the background information only when necessary.</t>
  </si>
  <si>
    <t>E105D</t>
  </si>
  <si>
    <t>1401-1417</t>
  </si>
  <si>
    <t>In recent years, there has been an increasing trend of applying artificial intelligence in many different fields, which has a profound and direct impact on human life. Consequently, this raises the need to understand the principles of model making predictions. Since most current high-precision models are black boxes, neither the AI scientist nor the end-user profoundly understands what is happening inside these models. Therefore, many algorithms are studied to explain AI models, especially those in the image classification problem in computer vision such as LIME, CAM, GradCAM. However, these algorithms still have limitations, such as LIME's long execution time and CAM's confusing interpretation of concreteness and clarity. Therefore, in this paper, we will propose a new method called Segmentation - Class Activation Mapping (SeCAM)/This method combines the advantages of these algorithms above while at simultaneously overcoming their disadvantages. We tested this algorithm with various models, including ResNet50, InceptionV3, and VGG16 from ImageNet Large Scale Visual Recognition Challenge (ILSVRC) data set. Outstanding results were achieved when the algorithm has met all the requirements for a specific explanation in a remarkably short space of time.</t>
  </si>
  <si>
    <t>M. Noppel; C. Wressnegger; Acm</t>
  </si>
  <si>
    <t>Poster: Fooling XAI with Explanation-Aware Backdoors</t>
  </si>
  <si>
    <t>PROCEEDINGS OF THE 2023 ACM SIGSAC CONFERENCE ON COMPUTER AND COMMUNICATIONS SECURITY, CCS 2023</t>
  </si>
  <si>
    <t>3612-3614</t>
  </si>
  <si>
    <t>10.1145/3576915.3624379</t>
  </si>
  <si>
    <t>The overabundance of learnable parameters in recent machine-learning models renders them inscrutable. Even their developers can not explain their exact inner workings anymore. For this reason, researchers have developed explanation algorithms to shed light on a model's decision-making process. Explanations identify the deciding factors for a model's decision. Therefore, much hope is set in explanations to solve problems like biases, spurious correlations, and more prominently attacks like neural backdoors.In this paper, we present explanation-aware backdoors, which fool both, the model's decisions and the explanation algorithm in the presence of a trigger. Explanation-aware backdoors therefore can bypass explanation-based detection techniques and throw a red herring" at the human analyst. While we have presented successful explanation-aware backdoors in our original work, "Disguising Attacks with Explanation-Aware Backdoors," in this paper, we provide a brief overview and a focus on the dataset "German Traffic Sign Recognition Benchmark" (GTSRB). We evaluate a different trigger and target explanation compared to the original paper and present results for GradCAM explanations. Supplemental material is publicly available at https://intellisec.de/research/xai-backdoor."</t>
  </si>
  <si>
    <t>T. Oblak; R. Haraksim; L. Beslay; P. Peer</t>
  </si>
  <si>
    <t>Probabilistic Fingermark Quality Assessment with Quality Region Localisation</t>
  </si>
  <si>
    <t>10.3390/s23084006</t>
  </si>
  <si>
    <t>The assessment of fingermark (latent fingerprint) quality is an intrinsic part of a forensic investigation. The fingermark quality indicates the value and utility of the trace evidence recovered from the crime scene in the course of a forensic investigation; it determines how the evidence will be processed, and it correlates with the probability of finding a corresponding fingerprint in the reference dataset. The deposition of fingermarks on random surfaces occurs spontaneously in an uncontrolled fashion, which introduces imperfections to the resulting impression of the friction ridge pattern. In this work, we propose a new probabilistic framework for Automated Fingermark Quality Assessment (AFQA). We used modern deep learning techniques, which have the ability to extract patterns even from noisy data, and combined them with a methodology from the field of eXplainable AI (XAI) to make our models more transparent. Our solution first predicts a quality probability distribution, from which we then calculate the final quality value and, if needed, the uncertainty of the model. Additionally, we complemented the predicted quality value with a corresponding quality map. We used GradCAM to determine which regions of the fingermark had the largest effect on the overall quality prediction. We show that the resulting quality maps are highly correlated with the density of minutiae points in the input image. Our deep learning approach achieved high regression performance, while significantly improving the interpretability and transparency of the predictions.</t>
  </si>
  <si>
    <t>S. Ogbomo-Harmitt; M. Muffoletto; A. Zeidan; A. Qureshi; A. P. King; O. Aslanidi</t>
  </si>
  <si>
    <t>Exploring interpretability in deep learning prediction of successful ablation therapy for atrial fibrillation</t>
  </si>
  <si>
    <t>FRONTIERS IN PHYSIOLOGY</t>
  </si>
  <si>
    <t>10.3389/fphys.2023.1054401</t>
  </si>
  <si>
    <t>Background: Radiofrequency catheter ablation (RFCA) therapy is the first-line treatment for atrial fibrillation (AF), the most common type of cardiac arrhythmia globally. However, the procedure currently has low success rates in dealing with persistent AF, with a reoccurrence rate of similar to 50% post-ablation. Therefore, deep learning (DL) has increasingly been applied to improve RFCA treatment for AF. However, for a clinician to trust the prediction of a DL model, its decision process needs to be interpretable and have biomedical relevance.Aim: This study explores interpretability in DL prediction of successful RFCA therapy for AF and evaluates if pro-arrhythmogenic regions in the left atrium (LA) were used in its decision process.Methods: AF and its termination by RFCA have been simulated in MRI-derived 2D LA tissue models with segmented fibrotic regions (n = 187). Three ablation strategies were applied for each LA model: pulmonary vein isolation (PVI), fibrosis-based ablation (FIBRO) and a rotor-based ablation (ROTOR). The DL model was trained to predict the success of each RFCA strategy for each LA model. Three feature attribution (FA) map methods were then used to investigate interpretability of the DL model: GradCAM, Occlusions and LIME.Results: The developed DL model had an AUC (area under the receiver operating characteristic curve) of 0.78 +/- 0.04 for predicting the success of the PVI strategy, 0.92 +/- 0.02 for FIBRO and 0.77 +/- 0.02 for ROTOR. GradCAM had the highest percentage of informative regions in the FA maps (62% for FIBRO and 71% for ROTOR) that coincided with the successful RFCA lesions known from the 2D LA simulations, but unseen by the DL model. Moreover, GradCAM had the smallest coincidence of informative regions of the FA maps with non-arrhythmogenic regions (25% for FIBRO and 27% for ROTOR).Conclusion: The most informative regions of the FA maps coincided with pro-arrhythmogenic regions, suggesting that the DL model leveraged structural features of MRI images to identify such regions and make its prediction. In the future, this technique could provide a clinician with a trustworthy decision support tool.</t>
  </si>
  <si>
    <t>F. A. Oliveira Santos; C. Zanchettin; L. N. Matos; P. Novais</t>
  </si>
  <si>
    <t>On the Impact of Interpretability Methods in Active Image Augmentation Method</t>
  </si>
  <si>
    <t>LOGIC JOURNAL OF THE IGPL</t>
  </si>
  <si>
    <t>611-621</t>
  </si>
  <si>
    <t>10.1093/jigpal/jzab006</t>
  </si>
  <si>
    <t>Robustness is a significant constraint in machine learning models. The performance of the algorithms must not deteriorate when training and testing with slightly different data. Deep neural network models achieve awe-inspiring results in a wide range of applications of computer vision. Still, in the presence of noise or region occlusion, some models exhibit inaccurate performance even with data handled in training. Besides, some experiments suggest deep learning models sometimes use incorrect parts of the input information to perform inference. Active image augmentation (ADA) is an augmentation method that uses interpretability methods to augment the training data and improve its robustness to face the described problems. Although ADA presented interesting results, its original version only used the vanilla backpropagation interpretability to train the U-Net model. In this work, we propose an extensive experimental analysis of the interpretability method's impact on ADA. We use five interpretability methods: vanilla backpropagation, guided backpropagation, gradient-weighted class activation mapping (GradCam), guided GradCam and InputXGradient. The results show that all methods achieve similar performance at the ending of training, but when combining ADA with GradCam, the U-Net model presented an impressive fast convergence.</t>
  </si>
  <si>
    <t>1711-1719</t>
  </si>
  <si>
    <t>Explaining the decision mechanism of Deep Convolutional Neural Networks (CNNs) is a new and challenging area because of the Black Box" nature of CNN's. Class Activation Mapping (CAM) as a visual explainable method is used to highlight important regions of input images by using classification gradients. The lack of the current methods is to use all of the filters in the last convolutional layer which causes scattered and unfocused activation mapping. HayCAMas a novel visualization method provides better activation mapping and therefore better localization by using dimension reduction. It has been shown with mask detection use case that input images are fed into the CNN model and bounding boxes are drawn over the generated activation maps (i.e. weakly-supervised object detection) by three different CAM methods. IoU values are obtained as 0.1922 for GradCAM, 0.2472 for GradCAM++, 0.3386 for EigenCAM, and 0.3487 for the proposed HayCAM. The results show that HayCAM achieves the best activation mapping with dimension reduction."</t>
  </si>
  <si>
    <t>CodCAM: A new ensemble visual explanation for classification of medical thermal images</t>
  </si>
  <si>
    <t>QUANTITATIVE INFRARED THERMOGRAPHY JOURNAL</t>
  </si>
  <si>
    <t>10.1080/17686733.2023.2167459</t>
  </si>
  <si>
    <t>Early diagnosis systems have vital importance to monitor and follow-up the conditions of neonates. Thermal imaging as a non-invasive and non-contact method has been used to monitor neonates for over decades. In this study, we train a convolutional neural network (CNN) model that classifies medical thermograms as healthy and unhealthy using real neonatal thermal images captured within a year from the Neonatal Intensive Care Unit (NICU), Faculty of Medicine at Selcuk University, Turkey. The trained model achieved 99.91% accuracy for train, 99.47% accuracy for validation, and 99.82% accuracy for test data. The test data were never used during training. Although the trained model achieves over 99% accuracy, how it works was not known because of the CNNs' Black-Box" nature. The four visual Explainable Artificial Intelligence methods that are GradCAM, GradCAM++, LayerCAM, and EigenCAM and a new ensemble visual explanation method named CodCAM are used to visualise the important parts of the neonatal thermal images for classification. Therefore, medical specialists are going to know which regions of the thermograms (i.e. parts of the neonates) affect the trained CNN's decision so as to build trust in AI models and evaluate the results."</t>
  </si>
  <si>
    <t>C. G. Pachon; D. Renza; D. Ballesteros</t>
  </si>
  <si>
    <t>Is My Pruned Model Trustworthy? PE-Score: A New CAM-Based Evaluation Metric</t>
  </si>
  <si>
    <t>BIG DATA AND COGNITIVE COMPUTING</t>
  </si>
  <si>
    <t>10.3390/bdcc7020111</t>
  </si>
  <si>
    <t>One of the strategies adopted to compress CNN models for image classification tasks is pruning, where some elements, channels or filters of the network are discarded. Typically, pruning methods present results in terms of model performance before and after pruning (assessed by accuracy or a related parameter such as the F1-score), assuming that if the difference is less than a certain value (e.g., 2%), the pruned model is trustworthy. However, state-of-the-art models are not concerned with measuring the actual impact of pruning on the network by evaluating the pixels used by the model to make the decision, or the confidence of the class itself. Consequently, this paper presents a new metric, called the Pruning Efficiency score (PE-score), which allows us to identify whether a pruned model preserves the behavior (i.e., the extracted patterns) of the unpruned model, through visualization and interpretation with CAM-based methods. With the proposed metric, it will be possible to better compare pruning methods for CNN-based image classification models, as well as to verify whether the pruned model is efficient by focusing on the same patterns (pixels) as those of the original model, even if it has reduced the number of parameters and FLOPs.</t>
  </si>
  <si>
    <t>Problem: An application of Explainable Artificial Intelligence Methods for COVID CT-Scan classifiers is presented. Motivation: It is possible that classifiers are using spurious artifacts in dataset images to achieve high performances, and such explainable techniques can help identify this issue. Aim: For this purpose, several approaches were used in tandem, in order to create a complete overview of the classificatios. Methodology: The techniques used included GradCAM, LIME, RISE, Squaregrid, and direct Gradient approaches (Vanilla, Smooth, Integrated). Main 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networks. Notably, it is important to notice that the strong performance metrics achieved by all these networks (Accuracy, F1 score, AUC all in the 80 to 90% range) could give users the erroneous impression that there is no bias. However, the analysis of the explanation heatmaps highlights the bias.</t>
  </si>
  <si>
    <t>H. Park; H. Jung; M. S. Lee; D. Kim; J. Lee; S. W. Han</t>
  </si>
  <si>
    <t>Interior Wind Noise Prediction and Visual Explanation System for Exterior Vehicle Design Using Combined Convolution Neural Networks</t>
  </si>
  <si>
    <t>INTERNATIONAL JOURNAL OF AUTOMOTIVE TECHNOLOGY</t>
  </si>
  <si>
    <t>1013-1021</t>
  </si>
  <si>
    <t>10.1007/s12239-022-0088-9</t>
  </si>
  <si>
    <t>An analytical model configuration, in addition to air pressure analysis and post-processing, was conducted to measure the interior wind noise by changing the exterior vehicular design. Although wind noise can be calculated accurately through the current process, it requires three to five days for each design. In this study, a convolutional neural network (CNN), which is a class of deep neural networks designed for processing image data, was applied to predict the wind noise with vehicle design images from four different views. Feature maps were extracted from the CNN models trained with images of each view and concatenated to flow through a sequence of fully connected (FC) layers to predict the wind noise. Moreover, visualization of the significant vehicle parts for wind noise prediction was provided using a gradient-weighted class activation map (GradCAM). Finally, we compared the performance of various CNN-based models, such as ResNet, DenseNet, and EfficientNet, in addition to the architecture of the FC layers. The proposed method can predict the wind noise using vehicle images from different views with a root-mean-square error (RMSE) value of 0.206, substantially reducing the time and cost required for interior wind noise estimation.</t>
  </si>
  <si>
    <t>PATTERN RECOGNITION, ACPR 2021, PT I</t>
  </si>
  <si>
    <t>403-416</t>
  </si>
  <si>
    <t>Facial expression recognition (FER) is a topic attracting significant research in both psychology and machine learning with a wide range of applications. Despite a wealth of research on human FER and considerable progress in computational FER made possible by deep neural networks (DNNs), comparatively less work has been done on comparing the degree to which DNNs may be comparable to human performance. In this work, we compared the recognition performance and attention patterns of humans and machines during a two-alternative forced-choice FER task. Human attention was here gathered through click data that progressively uncovered a face, whereas model attention was obtained using three different popular techniques from explainable AI: CAM, GradCAM and Extremal Perturbation. In both cases, performance was gathered as percent correct. For this task, we found that humans outperformed machines quite significantly. In terms of attention patterns, we found that Extremal Perturbation had the best overall fit with the human attention map during the task.</t>
  </si>
  <si>
    <t>3771-3792</t>
  </si>
  <si>
    <t>The pandemic of novel severe acute respiratory syndrome coronavirus 2 (SARS-CoV-2) also known as COVID-19 has been spreading worldwide, causing rampant loss of lives. Medical imaging such as computed tomography (CT), X-ray, etc., plays a significant role in diagnosing the patients by presenting the visual representation of the functioning of the organs. However, for any radiologist analyzing such scans is a tedious and time-consuming task. The emerging deep learning technologies have displayed its strength in analyzing such scans to aid in the faster diagnosis of the diseases and viruses such as COVID-19. In the present article, an automated deep learning based model, COVID-19 hierarchical segmentation network (CHS-Net) is proposed that functions as a semantic hierarchical segmenter to identify the COVID-19 infected regions from lungs contour via CT medical imaging using two cascaded residual attention inception U-Net (RAIU-Net) models. RAIU-Net comprises of a residual inception U-Net model with spectral spatial and depth attention network (SSD) that is developed with the contraction and expansion phases of depthwise separable convolutions and hybrid pooling (max and spectral pooling) to efficiently encode and decode the semantic and varying resolution information. The CHS-Net is trained with the segmentation loss function that is the defined as the average of binary cross entropy loss and dice loss to penalize false negative and false positive predictions. The approach is compared with the recently proposed approaches and evaluated using the standard metrics like accuracy, precision, specificity, recall, dice coefficient and Jaccard similarity along with the visualized interpretation of the model prediction with GradCam++ and uncertainty maps. With extensive trials, it is observed that the proposed approach outperformed the recently proposed approaches and effectively segments the COVID-19 infected regions in the lungs.</t>
  </si>
  <si>
    <t>Y. Qian; L. Li; H. Fu; M. Wang; Q. Peng; Y. C. Tham; C. Cheng; Y. Liu; R. S. M. Goh; X. Xu</t>
  </si>
  <si>
    <t>Category-Independent Visual Explanation for Medical Deep Network Understanding</t>
  </si>
  <si>
    <t>MEDICAL IMAGE COMPUTING AND COMPUTER ASSISTED INTERVENTION, MICCAI 2023, PT II</t>
  </si>
  <si>
    <t>181-191</t>
  </si>
  <si>
    <t>10.1007/978-3-031-43895-0_17</t>
  </si>
  <si>
    <t>Visual explanations have the potential to improve our understanding of deep learning models and their decision-making process, which is critical for building transparent, reliable, and trustworthy AI systems. However, existing visualization methods have limitations, including their reliance on categorical labels to identify regions of interest, which may be inaccessible during model deployment and lead to incorrect diagnoses if an incorrect label is provided. To address this issue, we propose a novel category-independent visual explanation method called Hessian-CIAM. Our algorithm uses the Hessian matrix, which is the second-order derivative of the activation function, to weigh the activation weight in the last convolutional layer and generate a region of interest heatmap at inference time. We then apply an SVD-based post-process to create a smoothed version of the heatmap. By doing so, our algorithm eliminates the need for categorical labels and modifications to the deep learning model. To evaluate the effectiveness of our proposed method, we compared it to seven state-of-the-art algorithms using the Chestx-ray8 dataset. Our approach achieved a 55% higher IoU measurement than classical GradCAM and a 17% higher IoU measurement than EigenCAM. Moreover, our algorithm obtained a Judd AUC score of 0.70 on the glaucoma retinal image database, demonstrating its potential applicability in various medical applications. In summary, our category-independent visual explanation method, Hessian-CIAM, generates high-quality region of interest heatmaps that are not dependent on categorical labels, making it a promising tool for improving our understanding of deep learning models and their decision-making process, particularly in medical applications.</t>
  </si>
  <si>
    <t>Y. Qiao; W. Jiang; F. Wang; G. Su; X. Li; J. Jiang</t>
  </si>
  <si>
    <t>FireFormer: an efficient Transformer to identify forest fire from surveillance cameras</t>
  </si>
  <si>
    <t>INTERNATIONAL JOURNAL OF WILDLAND FIRE</t>
  </si>
  <si>
    <t>1364-1380</t>
  </si>
  <si>
    <t>10.1071/WF22220</t>
  </si>
  <si>
    <t>Background. An effective identification model is crucial to realise the real-time monitoring and early warning of forest fires from surveillance cameras. However, existing models are prone to generate numerous false alarms under the interference of artificial smoke such as industrial smoke and villager cooking smoke, therefore a superior identification model is urgently needed. Aims. In this study, we tested the Transformer-based model FireFormer to predict the risk probability of forest fire from the surveillance images. Methods. FireFormer uses a shifted window self-attention module to extract similarities of divided patches in the image. The similarity in characteristics indicated the probability of forest fires. The GradCAM algorithm was then applied to analyse the interest area of FireFormer model and visualise the contribution of different image patches by calculating gradient reversely. To verify our model, the monitoring data from the high-point camera in Nandan Mountain, Foshan City, was collected and further constructed as a forest fire alarm dataset. Key results. Our results showed that FireFormer achieved a competitive performance (OA: 82.21%, Recall: 86.635% and F1-score: 74.68%). Conclusions. FireFormer proves to be superior to traditional methods. Implications. FireFormer provides an efficient way to reduce false alarms and avoid heavy manual re-checking work.</t>
  </si>
  <si>
    <t>Z. Qiu; H. Rivaz; Y. Xiao</t>
  </si>
  <si>
    <t>Is Visual Explanation with Grad-CAM More Reliable for Deeper Neural Networks? A Case Study with Automatic Pneumothorax Diagnosis</t>
  </si>
  <si>
    <t>MACHINE LEARNING IN MEDICAL IMAGING, MLMI 2023, PT II</t>
  </si>
  <si>
    <t>224-233</t>
  </si>
  <si>
    <t>10.1007/978-3-031-45676-3_23</t>
  </si>
  <si>
    <t>While deep learning techniques have provided the state-of-the-art performance in various clinical tasks, explainability regarding their decision-making process can greatly enhance the credence of these methods for safer and quicker clinical adoption. With high flexibility, Gradient-weighted Class Activation Mapping (Grad-CAM) has been widely adopted to offer intuitive visual interpretation of various deep learning models' reasoning processes in computer-assisted diagnosis. However, despite the popularity of the technique, there is still a lack of systematic study on Grad-CAM's performance on different deep learning architectures. In this study, we investigate its robustness and effectiveness across different popular deep learning models, with a focus on the impact of the networks' depths and architecture types, by using a case study of automatic pneumothorax diagnosis in X-ray scans. Our results show that deeper neural networks do not necessarily contribute to a strong improvement of pneumothorax diagnosis accuracy, and the effectiveness of GradCAM also varies among different network architectures.</t>
  </si>
  <si>
    <t>Ultrasound imaging is a valuable tool for assessing the development of the fetal during pregnancy. However, interpreting ultrasound images manually can be time-consuming and subject to variability. Automated image categorization using machine learning algorithms can streamline the interpretation process by identifying stages of fetal development present in ultrasound images. In particular, deep learning architectures have shown promise in medical image analysis, enabling accurate automated diagnosis. The objective of this research is to identify fetal planes from ultrasound images with higher precision. To achieve this, we trained several convolutional neural network (CNN) architectures on a dataset of 12400 images. Our study focuses on the impact of enhanced image quality by adopting Histogram Equalization and Fuzzy Logic-based contrast enhancement on fetal plane detection using the Evidential Dempster-Shafer Based CNN Architecture, PReLUNet, SqueezeNET, and Swin Transformer. The results of each classifier were noteworthy, with PreLUNet achieving an accuracy of 91.03%, SqueezeNET reaching 91.03% accuracy, Swin Transformer reaching an accuracy of 88.90%, and the Evidential classifier achieving an accuracy of 83.54%. We evaluated the results in terms of both training and testing accuracies. Additionally, we used LIME and GradCam to examine the decision-making process of the classifiers, providing explainability for their outputs. Our findings demonstrate the potential for automated image categorization in large-scale retrospective assessments of fetal development using ultrasound imaging.</t>
  </si>
  <si>
    <t>A. M. Raisuddin; E. Vaattovaara; M. Nevalainen; M. Nikki; E. Jarvenpaa; K. Makkonen; P. Pinola; T. Palsio; A. Niemensivu; O. Tervonen; A. Tiulpin</t>
  </si>
  <si>
    <t>Critical evaluation of deep neural networks for wrist fracture detection</t>
  </si>
  <si>
    <t>10.1038/s41598-021-85570-2</t>
  </si>
  <si>
    <t>Wrist Fracture is the most common type of fracture with a high incidence rate. Conventional radiography (i.e. X-ray imaging) is used for wrist fracture detection routinely, but occasionally fracture delineation poses issues and an additional confirmation by computed tomography (CT) is needed for diagnosis. Recent advances in the field of Deep Learning (DL), a subfield of Artificial Intelligence (AI), have shown that wrist fracture detection can be automated using Convolutional Neural Networks. However, previous studies did not pay close attention to the difficult cases which can only be confirmed via CT imaging. In this study, we have developed and analyzed a state-of-the-art DL-based pipeline for wrist (distal radius) fracture detection-DeepWrist, and evaluated it against one general population test set, and one challenging test set comprising only cases requiring confirmation by CT. Our results reveal that a typical state-of-the-art approach, such as DeepWrist, while having a near-perfect performance on the general independent test set, has a substantially lower performance on the challenging test set-average precision of 0.99 (0.99-0.99) versus 0.64 (0.46-0.83), respectively. Similarly, the area under the ROC curve was of 0.99 (0.98-0.99) versus 0.84 (0.72-0.93), respectively. Our findings highlight the importance of a meticulous analysis of DL-based models before clinical use, and unearth the need for more challenging settings for testing medical AI systems.</t>
  </si>
  <si>
    <t>E. Rajalakshmi; R. Elakkiya; A. L. Prikhodko; M. G. Grif; M. A. Bakaev; J. R. Saini; K. Kotecha; V. Subramaniyaswamy</t>
  </si>
  <si>
    <t>Static and Dynamic Isolated Indian and Russian Sign Language Recognition with Spatial and Temporal Feature Detection Using Hybrid Neural Network</t>
  </si>
  <si>
    <t>ACM TRANSACTIONS ON ASIAN AND LOW-RESOURCE LANGUAGE INFORMATION PROCESSING</t>
  </si>
  <si>
    <t>10.1145/3530989</t>
  </si>
  <si>
    <t>The Sign Language Recognition system intends to recognize the Sign language used by the hearing and vocally impaired populace. The interpretation of isolated sign language from static and dynamic gestures is a difficult study field in machine vision. Managing quick hand movement, facial expression, illumination variations, signer variation, and background complexity are amongst the most serious challenges in this arena. While deep learning-based models have been used to accomplish the entirety of the field's state-of-the-art outcomes, the previous issues have not been fully addressed. To overcome these issues, we propose a Hybrid Neural Network Architecture for the recognition of Isolated Indian and Russian Sign Language. In the case of static gesture recognition, the proposed framework deals with the 3D Convolution Net with an atrous convolution mechanism for spatial feature extraction. For dynamic gesture recognition, the proposed framework is an integration of semantic spatial multi-cue feature detection, extraction, and Temporal-Sequential feature extraction. The semantic spatial multi-cue feature detection and extraction module help in the generation of feature maps for Full-frame, pose, face, and hand. For face and hand detection, GradCam and Camshift algorithm have been used. The temporal and sequential module consists of a modified auto-encoder with a GELU activation function for abstract high-level feature extraction and a hybrid attention layer. The hybrid attention layer is an integration of segmentation and spatial attention mechanism. The proposed work also involves creating a novel multi-signer, single, and double-handed Isolated Sign representation dataset for Indian and Russian Sign Language. The experimentation was done on the novel dataset created. The accuracy obtained for Static Isolated Sign Recognition was 99.76%, and the accuracy obtained for Dynamic Isolated Sign Recognition was 99.85%. We have also compared the performance of our proposed work with other baseline models with benchmark datasets, and our proposed work proved to have better performance in terms of Accuracy metrics.</t>
  </si>
  <si>
    <t>Coronal anatomic slices of structural MRI images clearly show the topographical structures of the Hippocampus and Amygdala, which are essential for early diagnosis of Alzheimer's disease (AD). MR coronal sections are best appreciated for studying the complex topographical relationships of the amygdala and the topographical structures of the hippocampus, which helps in the early detection of disease. Early diagnosis helps prevent the disease's progression to its final stage. It allows the patient to be aware of the severity of the disease and can take the necessary therapeutic medications to prevent its progression. A coronal view study of MR images is proposed in this paper for early diagnosis of disease using a wavelet-pooling-based multi-path and multi-scale convolutional neural network. This work aims to perform a three-way classification of 2D coronal slices of MRI images to diagnose Mild Cognitive Impairment, AD, and Normal Control in a single algorithm and learn the brain-affected regions through Gradcam visualization. wavelet-pooling is utilized to extract the texture details of the image and thus provide spatial attention to the texture features of the image, which is impossible using Max-pooling or Average-pooling. Multi-scale feature learning is incorporated using parallel multiple low-rank convolutional kernels to capture varying scales of atrophy regions. Multi-path mode compensates for the early loss of features and avoids vanishing gradient problems. The proposed model is trained and tested on the ADNI dataset comprising 900 subjects to give an accuracy of 96.5% with ten-fold crossvalidation. The multi-scale and multi-path methods significantly reduce the number of learnable parameters.</t>
  </si>
  <si>
    <t>S. Rakhmatov; J. Ko</t>
  </si>
  <si>
    <t>Highlighting Defect Pixels for Tire Band Texture Defect Classification_x000D_
타이어 밴드 직물의 불량유형 분류를 위한 불량 픽셀 하이라이팅</t>
  </si>
  <si>
    <t>Journal of Advanced Navigation Technology</t>
  </si>
  <si>
    <t>113-118</t>
  </si>
  <si>
    <t>Motivated by people highlighting important phrases while reading or taking notes we propose a neural network training method by highlighting defective pixel areas to classify effectively defect types of images with complex background textures. To verify our proposed method we apply it to the problem of classifying the defect types of tire band fabric images that are too difficult to classify. In addition we propose a backlight highlighting technique which is tailored to the tire band fabric images. Backlight highlighting images can be generated by using both the GradCAM and simple image processing. In our experiment we demonstrated that the proposed highlighting method outperforms the traditional method in the view points of both classification accuracy and training speed. It achieved up to 13.4% accuracy improvement compared to the conventional method. We also showed that the backlight highlighting technique tailored for highlighting tire band fabric images is superior to a contour highlighting technique in terms of accuracy.</t>
  </si>
  <si>
    <t>21788-21798</t>
  </si>
  <si>
    <t>Our generation is quite obsessed with technology and we like to share our personal information such as photos and videos on the internet via different social networking websites i.e. Facebook, Snapchat, Instagram, etc. Therefore, it becomes easier for others to breach our privacy and harm us in a direct or indirect way. Now, computerized systems have advanced due to the improvements in Machine Learning (ML) algorithms and Artificial Intelligence (AI). These algorithms can extract sensitive information such as face attributes, text information, etc. from images or videos and can be used for privacy breaching. In this paper, we propose a novel privacy protection method by adding intelligent noise to the image while preserving image aesthetics and attributes. We determine multiple attributes for an image such as baldness, smiling, gender, etc. and we intelligently add noise to particular regions of the image that define a particular attribute using the visual explanation technique i.e. GradCam++, thereby preserving the other attributes. The addition of noise is based on the idea of Fast Gradient Sign Method (FGSM) that maximizes the gradients of the loss of an input image to create a new adversarial image. We integrate FGSM adversarial image and GradCam++ output to affect particular attributes only and hence keeping the image human imperceptible. The experiment results show that our attack outperforms the existing attacks including naive FGSM, Projected Gradient Descent (PGD), Momentum Iterative Method (MIM), Shadow Attack (SA), and Fast Minimum Norm (FMN) in terms of preserving attributes and image visual quality, when evaluated on CelebA dataset.</t>
  </si>
  <si>
    <t>T. H. Rim; A. Y. Lee; D. S. Ting; K. Teo; B. K. Betzler; Z. L. Teo; T. K. Yoo; G. Lee; Y. Kim; A. C. Lin; S. E. Kim; Y. C. Tham; S. S. Kim; C.-Y. Cheng; T. Y. Wong; C. M. G. Cheung</t>
  </si>
  <si>
    <t>Detection of features associated with neovascular age-related macular degeneration in ethnically distinct data sets by an optical coherence tomography: trained deep learning algorithm</t>
  </si>
  <si>
    <t>BRITISH JOURNAL OF OPHTHALMOLOGY</t>
  </si>
  <si>
    <t>1133-1139</t>
  </si>
  <si>
    <t>10.1136/bjophthalmol-2020-316984</t>
  </si>
  <si>
    <t>Background The ability of deep learning (DL) algorithms to identify eyes with neovascular age-related macular degeneration (nAMD) from optical coherence tomography (OCT) scans has been previously established. We herewith evaluate the ability of a DL model, showing excellent performance on a Korean data set, to generalse onto an American data set despite ethnic differences. In addition, expert graders were surveyed to verify if the DL model was appropriately identifying lesions indicative of nAMD on the OCT scans. Methods Model development data set-12 247 OCT scans from South Korea; external validation data set-91 509 OCT scans from Washington, USA. In both data sets, normal eyes or eyes with nAMD were included. After internal testing, the algorithm was sent to the University of Washington, USA, for external validation. Area under the receiver operating characteristic curve (AUC) and precision-recall curve (AUPRC) were calculated. For model explanation, saliency maps were generated using Guided GradCAM. Results On external validation, AUC and AUPRC remained high at 0.952 (95% CI 0.942 to 0.962) and 0.891 (95% CI 0.875 to 0.908) at the individual level. Saliency maps showed that in normal OCT scans, the fovea was the main area of interest; in nAMD OCT scans, the appropriate pathological features were areas of model interest. Survey of 10 retina specialists confirmed this. Conclusion Our DL algorithm exhibited high performance for nAMD identification in a Korean population, and generalised well to an ethnically distinct, American population. The model correctly focused on the differences within the macular area to extract features associated with nAMD.</t>
  </si>
  <si>
    <t>D. J. Rumala</t>
  </si>
  <si>
    <t>How You Split Matters: Data Leakage and Subject Characteristics Studies in Longitudinal Brain MRI Analysis</t>
  </si>
  <si>
    <t>CLINICAL IMAGE-BASED PROCEDURES, FAIRNESS OF AI IN MEDICAL IMAGING, AND ETHICAL AND PHILOSOPHICAL ISSUES IN MEDICAL IMAGING, CLIP 2023, FAIMI 2023, EPIMI 2023</t>
  </si>
  <si>
    <t>235-245</t>
  </si>
  <si>
    <t>10.1007/978-3-031-45249-9_23</t>
  </si>
  <si>
    <t>Deep learning models have revolutionized the field of medical image analysis, offering significant promise for improved diagnostics and patient care. However, their performance can be misleadingly optimistic due to a hidden pitfall called 'data leakage'. In this study, we investigate data leakage in 3D medical imaging, specifically using 3D Convolutional Neural Networks (CNNs) for brain MRI analysis. While 3D CNNs appear less prone to leakage than 2D counterparts, improper data splitting during cross-validation (CV) can still pose issues, especially with longitudinal imaging data containing repeated scans from the same subject. We explore the impact of different data splitting strategies on model performance for longitudinal brain MRI analysis and identify potential data leakage concerns. GradCAM visualization helps reveal shortcuts in CNN models caused by identity confounding, where the model learns to identify subjects along with diagnostic features. Our findings, consistent with prior research, underscore the importance of subject-wise splitting and evaluating our model further on hold-out data from different subjects to ensure the integrity and reliability of deep learning models in medical image analysis.</t>
  </si>
  <si>
    <t>A. Sadafi; O. Adonkina; A. Khakzar; P. Lienemann; R. M. Hehr; D. Rueckert; N. Navab; C. Marr</t>
  </si>
  <si>
    <t>Pixel-Level Explanation of Multiple Instance Learning Models in Biomedical Single Cell Images</t>
  </si>
  <si>
    <t>INFORMATION PROCESSING IN MEDICAL IMAGING, IPMI 2023</t>
  </si>
  <si>
    <t>170-182</t>
  </si>
  <si>
    <t>10.1007/978-3-031-34048-2_14</t>
  </si>
  <si>
    <t>Explainability is a key requirement for computer-aided diagnosis systems in clinical decision-making. Multiple instance learning with attention pooling provides instance-level explainability, however for many clinical applications a deeper, pixel-level explanation is desirable, but missing so far. In this work, we investigate the use of four attribution methods to explain a multiple instance learning models: GradCAM, Layer-Wise Relevance Propagation (LRP), Information Bottleneck Attribution (IBA), and InputIBA. With this collection of methods, we can derive pixel-level explanations on for the task of diagnosing blood cancer from patients' blood smears. We study two datasets of acute myeloid leukemia with over 100 000 single cell images and observe how each attribution method performs on the multiple instance learning architecture focusing on different properties of the white blood single cells. Additionally, we compare attribution maps with the annotations of a medical expert to see how the model's decision-making differs from the human standard. Our study addresses the challenge of implementing pixel-level explainability in multiple instance learning models and provides insights for clinicians to better understand and trust decisions from computer-aided diagnosis systems.</t>
  </si>
  <si>
    <t>2021 IEEE INTERNATIONAL IOT, ELECTRONICS AND MECHATRONICS CONFERENCE (IEMTRONICS)</t>
  </si>
  <si>
    <t>51-57</t>
  </si>
  <si>
    <t>The occurrence of imbalanced datasets in medical imaging has proven to be a challenge for the development of models to analyze and evaluate the underlying condition. In this paper, the bias of the chest CT scan dataset is handled by taking discrete splits and employing ResNets to detect COVID-19 in each split. The scraped images were pre-processed using CLARE histogram for comparison with low contrast images. Multiple ResNets were extended to form an ensemble neural network model using ANNs which handles the class imbalance. The system has an overall accuracy of 87.23% and the performance is assessed for each class. The image features identified are visualized using the GradCAM algorithm and some of the commonly found clinical features in the CT scan images of the patients suffering from this disease are summarized for better understanding the working of the model.</t>
  </si>
  <si>
    <t>S. Sangchocanonta; S. Ingpochai; S. Puangarom; A. Munthuli; P. Phienphanich; R. Itthipanichpong; S. Chansangpetch; A. Manassakorn; K. Ratanawongphaibul; V. Tantisevi; P. Rojanapongpun; C. Tantibundhit; Ieee</t>
  </si>
  <si>
    <t>2023 45TH ANNUAL INTERNATIONAL CONFERENCE OF THE IEEE ENGINEERING IN MEDICINE &amp; BIOLOGY SOCIETY, EMBC</t>
  </si>
  <si>
    <t>Glaucoma is the second most common cause of blindness. A glaucoma suspect has risk factors that increase the possibility of developing glaucoma. Evaluating a patient with suspected glaucoma is challenging. The donut method" was developed in this study as an augmentation technique for obtaining high-quality fundus images for training ConvNeXt-Small model. Fundus images from GlauCUTU-DATA, labelled by randomizing at least 3 well-trained ophthalmologists (4 well-trained ophthalmologists in case of no majority agreement) with a unanimous agreement (3/3) and majority agreement (2/3), were used in the experiment. The experimental results from the proposed method showed the training model with the "donut method" increased the sensitivity of glaucoma suspects from 52.94% to 70.59% for the 3/3 data and increased the sensitivity of glaucoma suspects from 37.78% to 42.22% for the 2/3 data. This method enhanced the efficacy of classifying glaucoma suspects in both equalizing sensitivity and specificity sufficiently. Furthermore, three well-trained ophthalmologists agreed that the GradCAM++ heatmaps obtained from the training model using the proposed method highlighted the clinical criteria."</t>
  </si>
  <si>
    <t>V. Sangha; A. A. Nargesi; L. Dhingra; B. Mortazavi; A. H. Ribeiro; E. Banina; C. Brandt; E. J. Miller; A. Ribeiro; E. J. Velazquez; H. M. Krumholz; R. Khera</t>
  </si>
  <si>
    <t>Detection of Left Ventricular Systolic Dysfunction From Electrocardiographic Images</t>
  </si>
  <si>
    <t>CIRCULATION</t>
  </si>
  <si>
    <t>J. Schneider; C. Meske; M. Vlachos</t>
  </si>
  <si>
    <t>Deceptive AI Explanations: Creation and Detection</t>
  </si>
  <si>
    <t>ICAART: PROCEEDINGS OF THE 14TH INTERNATIONAL CONFERENCE ON AGENTS AND ARTIFICIAL INTELLIGENCE - VOL 2</t>
  </si>
  <si>
    <t>10.5220/0010768300003116</t>
  </si>
  <si>
    <t>Artificial intelligence (AI) comes with great opportunities but can also pose significant risks. Automatically generated explanations for decisions can increase transparency and foster trust, especially for systems based on automated predictions by AI models. However, given, e.g., economic incentives to create dishonest AI, to what extent can we trust explanations? To address this issue, our work investigates how AI models (i.e., deep learning, and existing instruments to increase transparency regarding AI decisions) can be used to create and detect deceptive explanations. As an empirical evaluation, we focus on text classification and alter the explanations generated by GradCAM, a well-established explanation technique in neural networks. Then, we evaluate the effect of deceptive explanations on users in an experiment with 200 participants. Our findings confirm that deceptive explanations can indeed fool humans. However, one can deploy machine learning (ML) methods to detect seemingly minor deception attempts with accuracy exceeding 80% given sufficient domain knowledge. Without domain knowledge, one can still infer inconsistencies in the explanations in an unsupervised manner, given basic knowledge of the predictive model under scrutiny.</t>
  </si>
  <si>
    <t>DATA MINING AND KNOWLEDGE DISCOVERY</t>
  </si>
  <si>
    <t>We examine whether data generated by explanation techniques, which promote a process of self-reflection, can improve classifier performance. Our work is based on the idea that humans have the ability to make quick, intuitive decisions as well as to reflect on their own thinking and learn from explanations. To the best of our knowledge, this is the first time that the potential of mimicking this process by using explanations generated by explainability methods has been explored. We found that combining explanations with traditional labeled data leads to significant improvements in classification accuracy and training efficiency across multiple image classification datasets and convolutional neural network architectures. It is worth noting that during training, we not only used explanations for the correct or predicted class, but also for other classes. This serves multiple purposes, including allowing for reflection on potential outcomes and enriching the data through augmentation.</t>
  </si>
  <si>
    <t>A. Schoettl</t>
  </si>
  <si>
    <t>3RD INTERNATIONAL CONFERENCE ON INDUSTRY 4.0 AND SMART MANUFACTURING</t>
  </si>
  <si>
    <t>Deep classification networks play an important role as backbone networks in industrial AI applications. These applications are often cost or safety critical; explainability of the AI results is a highly demanded feature. We introduce CAM fostering, a method to improve the explainability of classification nets based on local layers such as convolutional or pooling layers. Several CAM interpretability measures are defined and used as additional loss terms. Even though the method requires second-order derivatives, it is demonstrated that deep nets can be trained on large datasets without frozen parameters. The training parameters can be chosen such that the accuracy degradation remains decent in favor of the CAM interpretability improvement. We conclude by comparing the results of different training parameter configurations. (C) 2022 The Authors. Published by Elsevier B.V.</t>
  </si>
  <si>
    <t>A. Schoettl; Ieee</t>
  </si>
  <si>
    <t>2020 10TH INTERNATIONAL CONFERENCE ON ADVANCED COMPUTER INFORMATION TECHNOLOGIES (ACIT)</t>
  </si>
  <si>
    <t>336-359</t>
  </si>
  <si>
    <t>We propose a technique for producing 'visual explanations' for decisions from a large class of Convolutional Neural Network (CNN)-based models, making them more transparent and explainable. Our approach-Gradient-weighted Class Activation Mapping (Grad-CAM), uses the gradients of any target concept (say 'dog' in a classification network or a sequence of words in captioning network) flowing into the final convolutional layer to produce a coarse localization map highlighting the important regions in the image for predicting the concept. Unlike previous approaches, Grad-CAM is applicable to a wide variety of CNN model-families: (1) CNNs with fully-connected layers (e.g.VGG), (2) CNNs used for structured outputs (e.g.captioning), (3) CNNs used in tasks with multi-modal inputs (e.g.visual question answering) or reinforcement learning, all without architectural changes or re-training. We combine Grad-CAM with existing fine-grained visualizations to create a high-resolution class-discriminative visualization, Guided Grad-CAM, and apply it to image classification, image captioning, and visual question answering (VQA) models, including ResNet-based architectures. In the context of image classification models, our visualizations (a) lend insights into failure modes of these models (showing that seemingly unreasonable predictions have reasonable explanations), (b) outperform previous methods on the ILSVRC-15 weakly-supervised localization task, (c) are robust to adversarial perturbations, (d) are more faithful to the underlying model, and (e) help achieve model generalization by identifying dataset bias. For image captioning and VQA, our visualizations show that even non-attention based models learn to localize discriminative regions of input image. We devise a way to identify important neurons through Grad-CAM and combine it with neuron names (Bau et al. in Computer vision and pattern recognition, 2017) to provide textual explanations for model decisions. Finally, we design and conduct human studies to measure if Grad-CAM explanations help users establish appropriate trust in predictions from deep networks and show that Grad-CAM helps untrained users successfully discern a 'stronger' deep network from a 'weaker' one even when both make identical predictions. Our code is available at , along with a demo on CloudCV (Agrawal et al., in: Mobile cloud visual media computing, pp 265-290. Springer, 2015) () and a video at .</t>
  </si>
  <si>
    <t>Y. Seo; M. Han; J. Kim; Ieee</t>
  </si>
  <si>
    <t>2022 IEEE SENSORS</t>
  </si>
  <si>
    <t>M. Shimizu; S. Cho; Y. Misu; M. Ohmori; R. Tateishi; T. Kaneda; Y. Yamakami; H. Shimada; T. Manno; A. Isshiki; S. Kimura; F. Hiroyuki; M. Suzuki; M. Nishizaki; T. Sasano</t>
  </si>
  <si>
    <t>Diagnostic Performance of Deep Learning on 12-lead Electrocardiography to Distinguish Takotsubo Syndrome and Acute Anterior Myocardial Infarction</t>
  </si>
  <si>
    <t>10.1161/circ.142.suppl_3.15414</t>
  </si>
  <si>
    <t>M. Shimizu; H. Miyazaki; S. Cho; Y. Misu; R. Takeishi; M. Yamaguchi; Y. Yamakami; H. Shimada; T. Manno; A. Isshiki; S. Kimura; H. Fujii; M. Suzuki; M. Nishizaki; T. Sasano</t>
  </si>
  <si>
    <t>Deep Learning on 12-Leads Electrocardiography Can Predict Recurrence After Pulmonary Vein Isolation in Patients with Persistent Atrial Fibrillation</t>
  </si>
  <si>
    <t>Y. Shu; A. van den Hengel; L. Liu; Ieee</t>
  </si>
  <si>
    <t>Self-supervised learning (SSL) strategies have demonstrated remarkable performance in various recognition tasks. However, both our preliminary investigation and recent studies suggest that they may be less effective in learning representations for fine-grained visual recognition (FGVR) since many features helpful for optimizing SSL objectives are not suitable for characterizing the subtle differences in FGVR. To overcome this issue, we propose learning an additional screening mechanism to identify discriminative clues commonly seen across instances and classes, dubbed as common rationales in this paper. Intuitively, common rationales tend to correspond to the discriminative patterns from the key parts of foreground objects. We show that a common rationale detector can be learned by simply exploiting the GradCAM induced from the SSL objective without using any pre-trained object parts or saliency detectors, making it seamlessly to be integrated with the existing SSL process. Specifically, we fit the GradCAM with a branch with limited fitting capacity, which allows the branch to capture the common rationales and discard the less common discriminative patterns. At the test stage, the branch generates a set of spatial weights to selectively aggregate features representing an instance. Extensive experimental results on four visual tasks demonstrate that the proposed method can lead to a significant improvement in different evaluation settings.(1)</t>
  </si>
  <si>
    <t>2022 IEEE CANADIAN CONFERENCE ON ELECTRICAL AND COMPUTER ENGINEERING (CCECE)</t>
  </si>
  <si>
    <t>J. Singh; C. Beeche; Z. Shi; O. Beale; B. Rosin; J. Leader; J. Pu</t>
  </si>
  <si>
    <t>Batch-balanced focal loss: a hybrid solution to class imbalance in deep learning</t>
  </si>
  <si>
    <t>10.1117/1.JMI.10.5.051809</t>
  </si>
  <si>
    <t>Purpose: To validate the effectiveness of an approach called batch-balanced focal loss (BBFL) in enhancing convolutional neural network (CNN) classification performance on imbalanced datasets.Materials and Methods: BBFL combines two strategies to tackle class imbalance: (1) batch-balancing to equalize model learning of class samples and (2) focal loss to add hard-sample importance to the learning gradient. BBFL was validated on two imbalanced fundus image datasets: a binary retinal nerve fiber layer defect (RNFLD) dataset (n = 7,258) and a multiclass glaucoma dataset (n = 7,873). BBFL was compared to several imbalanced learning techniques, including random oversampling (ROS), cost-sensitive learning, and thresholding, based on three state-of-the-art CNNs. Accuracy, F1-score, and the area under the receiver operator characteristic curve (AUC) were used as the performance metrics for binary classification. Mean accuracy and mean F1-score were used for multiclass classification. Confusion matrices, t-distributed neighbor embedding plots, and GradCAM were used for the visual assessment of performance.Results: In binary classification of RNFLD, BBFL with InceptionV3 (93.0% accuracy, 84.7% F1, 0.971 AUC) outperformed ROS (92.6% accuracy, 83.7% F1, 0.964 AUC), cost-sensitive learning (92.5% accuracy, 83.8% F1, 0.962 AUC), and thresholding (91.9% accuracy, 83.0% F1, 0.962 AUC) and others. In multiclass classification of glaucoma, BBFL with MobileNetV2 (79.7% accuracy, 69.6% average F1 score) outperformed ROS (76.8% accuracy, 64.7% F1), cost-sensitive learning (78.3% accuracy, 67.8.8% F1), and random undersampling (76.5% accuracy, 66.5% F1).Conclusion: The BBFL-based learning method can improve the performance of a CNN model in both binary and multiclass disease classification when the data are imbalanced. (c) 2023 Society of Photo-Optical Instrumentation Engineers (SPIE)</t>
  </si>
  <si>
    <t>IEEE TRANSACTIONS ON INSTRUMENTATION AND MEASUREMENT</t>
  </si>
  <si>
    <t>Electrocardiogram (ECG) signal analysis can be time-consuming, tedious, and error-prone. Therefore, automated analysis is need of time that will assist clinicians in detecting cardiac abnormalities accurately and efficiently. Recently, deep learning (DL) models have shown unprecedented progress and strong arrhythmia classification capabilities, but their deployment in the medical sector is constrained due to their black-box" nature. This article proposes a robust explainability method to assist in explaining the underlying decision-making process in deep neural networks (DNNs) and help provide feedback on biases that would benefit in improving DNN models. To achieve these objectives, initially, a DL model is trained on the MIT-BIH Arrhythmia Database and their classification performance is evaluated. The classification findings are then interpreted using the post-hoc explanation methods such as the SHapley Additive exPlanations (SHAP), local interpretable model-agnostic explanations (LIME), and gradient-weighted class activation mapping (Grad-CAM) that interpret the decision rationale. As these methods are initially proposed for image applications therefore a new masking approach is proposed to cater these post-hoc explainability methods for ECG time-series data. After evaluating these methods for ECG arrhythmia classification, several drawbacks are drawn such as they fail to locate a feature's importance if there are multiple occurrences of the same feature in a signal and also, SHAP and LIME perform random perturbations that sometimes produce unreliable explanations. Therefore, to overcome the drawbacks associated with these post-hoc explainability methods on time-series data, a novel K-GradCam method is proposed. The proposed K-GradCam method ensemble the benefits of these gradient-based and perturbation-based approaches and has demonstrated advantages over SHAP, Grad-CAM and LIME in terms of interpreting the models' decisions. To compare the proposed technique with post-hoc explainability methods quantitatively, the confidence index of the proposed method is evaluated using dice loss. The proposed method shares 71% similarity with SHAP and 81% similarity with Grad-CAM methods; however, it shares the benefits of both methods and is computationally faster than SHAP and LIME."</t>
  </si>
  <si>
    <t>IEEE JOURNAL OF SELECTED TOPICS IN APPLIED EARTH OBSERVATIONS AND REMOTE SENSING</t>
  </si>
  <si>
    <t>A. V. Subramanyam; A. Raj; Ieee</t>
  </si>
  <si>
    <t>2022 IEEE INTERNATIONAL CONFERENCE ON IMAGE PROCESSING, ICIP</t>
  </si>
  <si>
    <t>A. Sujatha Ravindran; C. A. Malaya; I. John; G. E. Francisco; C. Layne; J. L. Contreras-Vidal</t>
  </si>
  <si>
    <t>Decoding neural activity preceding balance loss during standing with a lower-limb exoskeleton using an interpretable deep learning model</t>
  </si>
  <si>
    <t>JOURNAL OF NEURAL ENGINEERING</t>
  </si>
  <si>
    <t>10.1088/1741-2552/ac6ca9</t>
  </si>
  <si>
    <t>Objective: Falls are a leading cause of death in adults 65 and older. Recent efforts to restore lower-limb function in these populations have seen an increase in the use of wearable robotic systems; however, fall prevention measures in these systems require early detection of balance loss to be effective. Prior studies have investigated whether kinematic variables contain information about an impending fall, but few have examined the potential of using electroencephalography (EEG) as a fall-predicting signal and how the brain responds to avoid a fall. Approach: To address this, we decoded neural activity in a balance perturbation task while wearing an exoskeleton. We acquired EEG, electromyography (EMG), and center of pressure (COP) data from seven healthy participants during mechanical perturbations while standing. The timing of the perturbations was randomized in all trials. Main results: We found perturbation evoked potentials (PEP) components as early as 75-134 ms after the onset of the external perturbation, which preceded both the peak in EMG (similar to 180 ms) and the COP (similar to 350 ms). A convolutional neural network trained to predict balance perturbations from single-trial EEG had a mean F-score of 75.0 +/- 4.3 %. Clustering GradCAM-based model explanations demonstrated that the model utilized components in the PEP and was not driven by artifacts. Additionally, dynamic functional connectivity results agreed with model explanations; the nodal connectivity measured using phase difference derivative was higher in the occipital-parietal region in the early stage of perturbations, before shifting to the parietal, motor, and back to the frontal-parietal channels. Continuous-time decoding of COP trajectories from EEG, using a gated recurrent unit model, achieved a mean Pearson's correlation coefficient of 0.7 +/- 0.06. Significance: Overall, our findings suggest that EEG signals contain short-latency neural information related to an impending fall, which may be useful for developing brain-machine interface systems for fall prevention in robotic exoskeletons.</t>
  </si>
  <si>
    <t>M. Sulyok; J. Luibrand; J. Strohaeker; P. Karacsonyi; L. Frauenfeld; A. Makky; S. Mattern; J. Zhao; S. Nadalin; F. Fend; C. M. Schuerch</t>
  </si>
  <si>
    <t>Implementing deep learning models for the classification of&lt;i&gt; Echinococcus&lt;/i&gt;&lt;i&gt; multilocularis&lt;/i&gt; infection in human liver tissue</t>
  </si>
  <si>
    <t>PARASITES &amp; VECTORS</t>
  </si>
  <si>
    <t>10.1186/s13071-022-05640-w</t>
  </si>
  <si>
    <t>Background The histological diagnosis of alveolar echinococcosis can be challenging. Decision support models based on deep learning (DL) are increasingly used to aid pathologists, but data on the histology of tissue-invasive parasitic infections are missing. The aim of this study was to implement DL methods to classify Echinococcus multilocularis liver lesions and normal liver tissue and assess which regions and structures play the most important role in classification decisions.Methods We extracted 15,756 echinococcus tiles from 28 patients using 59 whole slide images (WSI); 11,602 tiles of normal liver parenchyma from 18 patients using 33 WSI served as a control group. Different pretrained model architectures were used with a 60-20-20% random splitting. We visualized the predictions using probability-thresholded heat maps of WSI. The area-under-the-curve (AUC) value and other performance metrics were calculated. The GradCAM method was used to calculate and visualize important spatial features.Results The models achieved a high validation and test set accuracy. The calculated AUC values were 1.0 in all models. Pericystic fibrosis and necrotic areas, as well as germinative and laminated layers of the metacestodes played an important role in decision tasks according to the superimposed GradCAM heatmaps.Conclusion Deep learning models achieved a high predictive performance in classifying E. multilocularis liver lesions. A possible next step could be to validate the model using other datasets and test it against other pathologic entities as well, such as, for example, Echinococcus granulosus infection.</t>
  </si>
  <si>
    <t>W. Tan; J. Renkhoff; A. Velasquez; Z. Wang; L. Li; J. Wang; S. Niu; F. Yang; Y. Liu; H. Song; Ieee</t>
  </si>
  <si>
    <t>2023 IEEE INTERNATIONAL CONFERENCE ON FUZZY SYSTEMS, FUZZ</t>
  </si>
  <si>
    <t>Deep Learning (DL) and Deep Neural Networks (DNNs) are widely used in various domains. However, adversarial attacks can easily mislead a neural network and lead to wrong decisions. Defense mechanisms are highly preferred in safety-critical applications. In this paper, firstly, we use the gradient class activation map (GradCAM) to analyze the behavior deviation of the VGG-16 network when its inputs are mixed with adversarial perturbation or Gaussian noise. In particular, our method can locate vulnerable layers that are sensitive to adversarial perturbation and Gaussian noise. We also show that the behavior deviation of vulnerable layers can be used to detect adversarial examples. Secondly, we propose a novel NoiseCAM algorithm that integrates information from globally and pixellevel weighted class activation maps. Our algorithm is highly sensitive to adversarial perturbations and will not respond to Gaussian random noise mixed in the inputs. Third, we compare detecting adversarial examples using both behavior deviation and NoiseCAM, and we show that NoiseCAM outperforms behavior deviation modeling in its overall performance. Our work could provide a useful tool to defend against certain types of adversarial attacks on deep neural networks.</t>
  </si>
  <si>
    <t>G. S. Tang; L. S. Chow; M. I. Solihin; N. Ramli; N. F. Gowdh; K. Rahmat; Ieee</t>
  </si>
  <si>
    <t>Detection of COVID-19 Using Deep Convolutional Neural Network on Chest X-Ray (CXR) Images</t>
  </si>
  <si>
    <t>2021 IEEE CANADIAN CONFERENCE ON ELECTRICAL AND COMPUTER ENGINEERING (CCECE)</t>
  </si>
  <si>
    <t>10.1109/CCECE53047.2021.9569064</t>
  </si>
  <si>
    <t>Our study aims to investigate the best performing Convolutional Neural Networks (CNN) suitable for COVID-19 detection on Chest X-Ray (CXR) images. We applied five state-ofart CNN models in this study: DarkNet-19, ResNet-101, SqueezeNet, VGG-16, and VGG-19. These CNN models were pretrained with natural images for classification. Therefore, we used transfer learning to modify the fully connected layer and output layer for a binary classification between COVID-19 and normal lungs. The models were trained using our combined dataset of CXR images obtained from the public domain, COVIDx, and private domain, University of Malaya (UM). The CXR images were pre-processed with reflection along the horizontal and vertical axis before being fed into the CNN models. Then another combined dataset from both COVIDx and UM was used to test the performance of the models. The numbers of correctly and wrongly predicted classes were tallied and represented with a confusion matrix. Then, the specificity, sensitivity, precision, Fl-score, and accuracy were measured to evaluate the performance of each model. Our study demonstrated an accuracy above 90% for all five models. Gradient-weighted Class Activation Mapping (GradCAM) was used to visualize the significant activation regions that contributed to the model's decision. We have also applied the COVID-Net-CXR-Large model to our combined dataset for testing to evaluate its performance in multiclass classification. The current CNN models require further improvement and modification before they can be applied clinically as a secondary tool for the diagnosis of COVID-19 cases.</t>
  </si>
  <si>
    <t>Artificial intelligence models do not provide information about exactly how the predictions are reached. This lack of transparency is a major drawback. Particularly in medical applications, interest in explainable artificial intelligence (XAI), which helps to develop methods of visualizing, explaining, and analyzing deep learning models, has increased recently. With explainable artificial intelligence, it is possible to understand whether the solutions offered by deep learning techniques are safe. This paper aims to diagnose a fatal disease such as a brain tumor faster and more accurately using XAI methods. In this study, we preferred datasets that are widely used in the literature, such as the four-class kaggle brain tumor dataset (Dataset I) and the three-class figshare brain tumor dataset (Dataset II). To extract features, a pre-trained deep learning model is chosen. DenseNet201 is used as the feature extractor in this case. The proposed automated brain tumor detection model includes five stages. First, training of brain MR images with DenseNet201, the tumor area was segmented with GradCAM. The features were extracted from DenseNet201 trained using the exemplar method. Extracted features were selected with iterative neighborhood component (INCA) feature selector. Finally, the selected features were classified using support vector machine (SVM) with 10-fold cross-validation. An accuracy of 98.65% and 99.97%, were obtained for Datasets I and II, respectively. The proposed model obtained higher performance than the state-of-the-art methods and can be used to aid radiologists in their diagnosis.</t>
  </si>
  <si>
    <t>BIOMEDICAL SIGNAL PROCESSING AND CONTROL</t>
  </si>
  <si>
    <t>10.1016/j.bspc.2022.103948</t>
  </si>
  <si>
    <t>Background: Stroke is a neurological condition that occurs when cerebral vessels become blocked and have reduced blood flow. This research proposes a hybrid deep feature-based feature engineering model to achieve high classification performance.Materials and method: In this research, three brain magnetic resonance image datasets were used to test the proposed model. A deep feature engineering model has been proposed to deploy the raw MRI and four pre-processing algorithms: GradCAM, histogram-matching, canny edge detection, and Locally Interpretable Model-Agnostic Explanations(LIME). The deep features have been extracted using Resnet101 and DenseNet201 pre-trained convolutional neural networks (CNN). Thus, this model is titled preprocessing based DenseNet and ResNet (PDRNet). The iterative neighborhood component analysis (INCA) function selects the most suitable features. These features are trained and validated using support vector machine (SVM) classifiers. Iterative Majority Voting (IMV) has been applied to the results obtained from the SVM. The best classification result has been selected by deploying IMV.Results: Our proposed PDRNet achieved a classification accuracy of 97.56% for Dataset 1, 99.32% for Dataset 2, and 99.16% for Dataset 3. The success of the presented model is demonstrated using these calculated accuracies.Conclusions: Our proposed hybrid deep feature model was tested on two datasets with two and four classes. It has also been compared to other state-of-art deep learning-based models, and our model performs better. These results and findings clearly demonstrate the success of the introduced hybrid deep feature engineering method.</t>
  </si>
  <si>
    <t>A. M. Tripathi; A. Mishra; Ieee</t>
  </si>
  <si>
    <t>Revamped Knowledge Distillation for Sound Classification</t>
  </si>
  <si>
    <t>2022 INTERNATIONAL JOINT CONFERENCE ON NEURAL NETWORKS (IJCNN)</t>
  </si>
  <si>
    <t>10.1109/IJCNN55064.2022.9892474</t>
  </si>
  <si>
    <t>This paper presents a novel knowledge distillation technique that inherits knowledge from multiple deep Environment Sound Classification (ESC) models trained on spectrogram features created by dividing the spectrogram into multiple sub-band spectrogram. The deep models trained on sub-band spectrograms prevent information loss while performing knowledge distillation from a teacher model to a student model receiving the full spectrogram as an input. The student models' performance is evaluated on two benchmark sound datasets, viz. the ESC-10 and Audio MNIST datasets. The impact of teacher models trained with different number of sub-band features and four ensemble techniques has been investigated thoroughly to enhance the final accuracy of the student model supervised by the proposed knowledge distillation framework. Experiments and results shows that the accuracy of the student model is comparable and competitive to state-of-the-art methods for sound classification. Moreover, the student model trained on the Audio MNIST dataset attains an hitherto unpublished accuracy of 98.25%, a new benchmark for the Audio MNIST dataset. Additionally, GradCAM visualization of the spectrogram features is generated to identify the spectrogram's relevant regions and understand why the model classifies a signal into a specific class.</t>
  </si>
  <si>
    <t>Lung and colon cancers are among the leading causes of human mortality and morbidity. Early diagnostic work up of these diseases include radiography, ultrasound, magnetic resonance imaging, and computed tomography. Certain blood tumor markers for carcinoma lung and colon also aid in the diagnosis. Despite the lab and diagnostic imaging, histopathology remains the gold standard, which provides cell-level images of tissue under examination. To read these images, a histopathologist spends a large amount of time. Furthermore, using conventional diagnostic methods involve high-end equipment as well. This leads to limited number of patients getting final diagnosis and early treatment. In addition, there are chances of inter-observer errors. In recent years, deep learning has shown promising results in the medical field. This has helped in early diagnosis and treatment according to severity of disease. With the help of EffcientNetV2 models that have been cross-validated and tested fivefold, we propose an automated method for detecting lung (lung adenocarcinoma, lung benign, and lung squamous cell carcinoma) and colon (colon adenocarcinoma and colon benign) cancer subtypes from LC25000 histopathology images. A state-of-the-art deep learning architecture based on the principles of compound scaling and progressive learning, EffcientNetV2 large, medium, and small models. An accuracy of 99.97%, AUC of 99.99%, F1-score of 99.97%, balanced accuracy of 99.97%, and Matthew's correlation coefficient of 99.96% were obtained on the test set using the EffcientNetV2-L model for the 5-class classification of lung and colon cancers, outperforming the existing methods. Using gradCAM, we created visual saliency maps to precisely locate the vital regions in the histopathology images from the test set where the models put more attention during cancer subtype predictions. This visual saliency maps may potentially assist pathologists to design better treatment strategies. Therefore, it is possible to use the proposed pipeline in clinical settings for fully automated lung and colon cancer detection from histopathology images with explainability.</t>
  </si>
  <si>
    <t>M. Ul Alam; J. R. Baldvinsson; Y. Wang</t>
  </si>
  <si>
    <t>Exploring LRP and Grad-CAM visualization to interpret multi-label-multi-class pathology prediction using chest radiography</t>
  </si>
  <si>
    <t>2022 IEEE 35TH INTERNATIONAL SYMPOSIUM ON COMPUTER-BASED MEDICAL SYSTEMS (CBMS)</t>
  </si>
  <si>
    <t>258-263</t>
  </si>
  <si>
    <t>10.1109/CBMS55023.2022.00052</t>
  </si>
  <si>
    <t>The area of interpretable deep neural networks has received increased attention in recent years due to the need for transparency in various fields, including medicine, healthcare, stock market analysis, compliance with legislation, and law. Layer-wise Relevance Propagation (LRP) and Gradient-weighted Class Activation Mapping (Grad-CAM) are two widely used algorithms to interpret deep neural networks. In this work, we investigated the applicability of these two algorithms in the sensitive application area of interpreting chest radiography images. In order to get a more nuanced and balanced outcome, we use a multi-label classification-based dataset and analyze the model prediction by visualizing the outcome of LRP and Grad-CAM on the chest radiography images. The results show that LRP provides more granular heatmaps than Grad-CAM when applied to the CheXpert dataset classification model. We posit that this is due to the inherent construction difference of these algorithms (LRP is layer-wise accumulation, whereas Grad-CAM focuses primarily on the final sections in the model's architecture). Both can be useful for understanding the classification from a micro or macro level to get a superior and interpretable clinical decision support system.</t>
  </si>
  <si>
    <t>L. E. van Dyck; S. J. Denzler; W. R. Gruber</t>
  </si>
  <si>
    <t>Guiding visual attention in deep convolutional neural networks based on human eye movements</t>
  </si>
  <si>
    <t>10.3389/fnins.2022.975639</t>
  </si>
  <si>
    <t>Deep Convolutional Neural Networks (DCNNs) were originally inspired by principles of biological vision, have evolved into best current computational models of object recognition, and consequently indicate strong architectural and functional parallelism with the ventral visual pathway throughout comparisons with neuroimaging and neural time series data. As recent advances in deep learning seem to decrease this similarity, computational neuroscience is challenged to reverse-engineer the biological plausibility to obtain useful models. While previous studies have shown that biologically inspired architectures are able to amplify the human-likeness of the models, in this study, we investigate a purely data-driven approach. We use human eye tracking data to directly modify training examples and thereby guide the models' visual attention during object recognition in natural images either toward or away from the focus of human fixations. We compare and validate different manipulation types (i.e., standard, human-like, and non-human-like attention) through GradCAM saliency maps against human participant eye tracking data. Our results demonstrate that the proposed guided focus manipulation works as intended in the negative direction and non-human-like models focus on significantly dissimilar image parts compared to humans. The observed effects were highly category-specific, enhanced by animacy and face presence, developed only after feedforward processing was completed, and indicated a strong influence on face detection. With this approach, however, no significantly increased human-likeness was found. Possible applications of overt visual attention in DCNNs and further implications for theories of face detection are discussed.</t>
  </si>
  <si>
    <t>Explainable Artificial Intelligence in Alzheimer's Disease Classification: A Systematic Review</t>
  </si>
  <si>
    <t>COGNITIVE COMPUTATION</t>
  </si>
  <si>
    <t>10.1007/s12559-023-10192-x</t>
  </si>
  <si>
    <t>The unprecedented growth of computational capabilities in recent years has allowed Artificial Intelligence (AI) models to be developed for medical applications with remarkable results. However, a large number of Computer Aided Diagnosis (CAD) methods powered by AI have limited acceptance and adoption in the medical domain due to the typical blackbox nature of these AI models. Therefore, to facilitate the adoption of these AI models among the medical practitioners, the models' predictions must be explainable and interpretable. The emerging field of explainable AI (XAI) aims to justify the trustworthiness of these models' predictions. This work presents a systematic review of the literature reporting Alzheimer's disease (AD) detection using XAI that were communicated during the last decade. Research questions were carefully formulated to categorise AI models into different conceptual approaches (e.g., Post-hoc, Ante-hoc, Model-Agnostic, Model-Specific, Global, Local etc.) and frameworks (Local Interpretable Model-Agnostic Explanation or LIME, SHapley Additive exPlanations or SHAP, Gradient-weighted Class Activation Mapping or GradCAM, Layer-wise Relevance Propagation or LRP, etc.) of XAI. This categorisation provides broad coverage of the interpretation spectrum from intrinsic (e.g., Model-Specific, Ante-hoc models) to complex patterns (e.g., Model-Agnostic, Post-hoc models) and by taking local explanations to a global scope. Additionally, different forms of interpretations providing in-depth insight into the factors that support the clinical diagnosis of AD are also discussed. Finally, limitations, needs and open challenges of XAI research are outlined with possible prospects of their usage in AD detection.</t>
  </si>
  <si>
    <t>K. K. Vupparaboina; S. R. Manne; S. P. Koidala; K. Ozimba; A. R. Mohammed; S. Bin Bashar; J. A. Sahel; S. Jana; J. Chhablani</t>
  </si>
  <si>
    <t>Deep-learning based diagnostic quality assessment of choroid layer in OCT scans</t>
  </si>
  <si>
    <t>J. Walsh; A. Neupane; A. Koirala; M. Li; N. Anderson</t>
  </si>
  <si>
    <t>Review: The evolution of chemometrics coupled with near infrared spectroscopy for fruit quality evaluation. II. The rise of convolutional neural networks</t>
  </si>
  <si>
    <t>JOURNAL OF NEAR INFRARED SPECTROSCOPY</t>
  </si>
  <si>
    <t>109-125</t>
  </si>
  <si>
    <t>10.1177/09670335231173140</t>
  </si>
  <si>
    <t>The Part 1 prequel to this review evaluated the evolution of modelling techniques used in evaluation of fruit quality over the past three decades and noted a progression towards the use of artificial neural networks (ANNs) and convolutional neural networks (CNNs). In this review, Part 2, the use of CNNs for NIR fruit quality evaluation is explored, given the success of CNNs in various other fields, such as image, video, speech, and audio processing, and the availability of large (open source) datasets of fruit spectra and reference quality attribute, which is required for the training of CNN models. The review provides an overview of deep learning and the CNN architectures and techniques used in NIR spectroscopy for regression modelling, with advantages and disadvantages identified. Studies using CNN for NIR based fruit quality evaluation are then critically examined. Eight publications have presented on models using the same open-source mango dry matter calibration and test set, enabling inter-method comparisons. CNN models have been demonstrated to be accurate, precise and robust. Techniques of transfer learning for CNN models offer an alternative solution to model updating and calibration transfer methods applied in traditional chemometrics. The review has highlighted crucial areas that require resolution and exploration in this application through future research, including, (i) data requirements for training a CNN (ii) optimal spectral preprocessing for CNN (iii) CNN architecture and hyper-parameter selection and tuning for fruit quality evaluation (iv) CNN model interpretability and explainability. Future studies must conduct clearer comparison to partial least squares (PLS) regression and shallow ANNs to better assess the prospective benefit of using CNN, a more complex model. The potential for visualisation of spectra relevance to the CNN model using techniques such as GradCam, currently employed in visualising 2D-CNN models, remains to be explored.</t>
  </si>
  <si>
    <t>A.-C. Woerl; J. Disselhoff; M. Wand; Ieee</t>
  </si>
  <si>
    <t>2023 IEEE/CVF CONFERENCE ON COMPUTER VISION AND PATTERN RECOGNITION, CVPR</t>
  </si>
  <si>
    <t>A. Wollek; R. Graf; S. Cecatka; N. Fink; T. Willem; B. O. Sabel; T. Lasser</t>
  </si>
  <si>
    <t>Attention-based Saliency Maps Improve Interpretability of Pneumothorax Classification</t>
  </si>
  <si>
    <t>RADIOLOGY-ARTIFICIAL INTELLIGENCE</t>
  </si>
  <si>
    <t>10.1148/ryai.220187</t>
  </si>
  <si>
    <t>Purpose: To investigate the chest radiograph classification performance of vision transformers (ViTs) and interpretability of attention -based saliency maps, using the example of pneumothorax classification.Materials and Methods: In this retrospective study, ViTs were fine-tuned for lung disease classification using four public datasets: CheXpert, Chest X-Ray 14, MIMIC CXR, and VinBigData. Saliency maps were generated using transformer multimodal explain -ability and gradient-weighted class activation mapping (GradCAM). Classification performance was evaluated on the Chest X-Ray 14, VinBigData, and Society for Imaging Informatics in Medicine-American College of Radiology (SIIM-ACR) Pneumothorax Segmentation datasets using the area under the receiver operating characteristic curve (AUC) analysis and compared with convolution-al neural networks (CNNs). The explainability methods were evaluated with positive and negative perturbation, sensitivity-n, effective heat ratio, intra-architecture repeatability, and interarchitecture reproducibility. In the user study, three radiologists classified 160 chest radiographs with and without saliency maps for pneumothorax and rated their usefulness. Results: ViTs had comparable chest radiograph classification AUCs compared with state-of-the-art CNNs: 0.95 (95% CI: 0.94, 0.95) versus 0.83 (95%, CI 0.83, 0.84) on Chest X-Ray 14, 0.84 (95% CI: 0.77, 0.91) versus 0.83 (95% CI: 0.76, 0.90) on VinBigData, and 0.85 (95% CI: 0.85, 0.86) versus 0.87 (95% CI: 0.87, 0.88) on SIIM-ACR. Both saliency map methods unveiled a strong bias toward pneumothorax tubes in the models. Radiologists found 47% of the attention-based and 39% of the GradCAM saliency maps useful. The attention-based methods outperformed GradCAM on all metrics.Conclusion: ViTs performed similarly to CNNs in chest radiograph classification, and their attention-based saliency maps were more useful to radiologists and outperformed GradCAM.</t>
  </si>
  <si>
    <t>A. I. Xavier; C. Villavicencio; J. J. Macrohon; J.-H. Jeng; J.-G. Hsieh</t>
  </si>
  <si>
    <t>Object Detection via Gradient-Based Mask R-CNN Using Machine Learning Algorithms</t>
  </si>
  <si>
    <t>MACHINES</t>
  </si>
  <si>
    <t>10.3390/machines10050340</t>
  </si>
  <si>
    <t>Object detection has received a lot of research attention in recent years because of its close association with video analysis and image interpretation. Detecting objects in images and videos is a fundamental task and considered as one of the most difficult problems in computer vision. Many machine learning and deep learning models have been proposed in the past to solve this issue. In the current scenario, the detection algorithm must calculate from beginning to end in the shortest amount of time possible. This paper proposes a method called GradCAM-MLRCNN that combines Gradient-weighted Class Activation Mapping++ (Grad-CAM++) for localization and Mask Regional Convolution Neural Network (Mask R-CNN) for object detection along with machine learning algorithms. In our proposed method, images are used to train the network, together with masks that shows where the objects are in the image. A bounding box is regressed around the region of interest in most localization networks. Furthermore, just like any classification task, the multi-class log loss is minimized during training. This model enhances the calculation time and speed, as well as the efficiency, which recognizes objects in images accurately by comparing state-of-the-art machine learning algorithms, such as decision tree, Gaussian algorithm, k-means clustering, k-nearest neighbor, and logistic regression. Among these methods, we found logistic regression performed well with an accuracy rate of 98.4%, recall rate of 99.6%, and precision rate of 97.3% with respect to ResNet 152 and VGG 19. Furthermore, we proved the goodness of fit of our proposed model using chi-square statistical method and demonstrated that our solution can achieve great precision while maintaining a fair recall level.</t>
  </si>
  <si>
    <t>10.1016/j.bspc.2023.105158</t>
  </si>
  <si>
    <t>X. Xu; Y. Liu; S. Cao; L. Lu</t>
  </si>
  <si>
    <t>An Efficient and Lightweight Method for Human Ear Recognition Based on MobileNet</t>
  </si>
  <si>
    <t>WIRELESS COMMUNICATIONS &amp; MOBILE COMPUTING</t>
  </si>
  <si>
    <t>10.1155/2022/9069007</t>
  </si>
  <si>
    <t>In recent years, biometric recognition patterns have attracted the attention of many researchers, among which human ears, as a unique and stable biometric feature, have significant advantages in verifying personal identity. In the Internet era, a system with low computing cost and good real-time performance is more popular. Most of the existing ear recognition methods are based on a large parameter network model, which causes a large memory footprint and computational overhead. This paper proposes an efficient and lightweight human ear recognition method (ELERNet) based on MobileNet V2. Based on the MobileNet V2 model, dynamic convolution decomposition is introduced to enhance the representation ability of human ear features. Then, combined with the coordinate attention mechanism, the spatial features of human ear images are aggregated to locate the location information of the human ear features more accurately. We conducted experiments on AWE and EarVN1.0 human ear datasets. Compared with the MobileNet V2 model, the recognition accuracy of our method is significantly improved. Using less computing hardware resources, the ELERNet model achieves 83.52% and 96.10% Rank-1 (R1) recognition accuracy, respectively, which is better than other models. Finally, we provide a visual interpretation using GradCAM technology, and the results show that our method can learn specific and discriminative features in the ear images.</t>
  </si>
  <si>
    <t>Y. Yan; K. Jin; Z. Gao; X. Huang; F. Wang; Y. Wang; J. Ye</t>
  </si>
  <si>
    <t>Attention-based deep learning system for automated diagnoses of age-related macular degeneration in optical coherence tomography images</t>
  </si>
  <si>
    <t>MEDICAL PHYSICS</t>
  </si>
  <si>
    <t>4926-4934</t>
  </si>
  <si>
    <t>10.1002/mp.15002</t>
  </si>
  <si>
    <t>Purpose The progression of age-related macular degeneration (AMD) is critical to treatment decisions in clinical practice. The disease can be classified into four categories namely, drusen, inactive choroidal neovascularization (CNV), active CNV, and normal, according to severity based on optical coherence tomography (OCT) images. Interpreting numerous OCT images is still time-consuming and labor-intensive, especially for the detection of the CNV activity. To address this problem, we developed a deep learning (DL) system based on OCT images, with the assistance of an attention mechanism, to automatically diagnose AMD. Methods A public dataset (total 51,140 OCT images) and a private dataset (total 4951 OCT images) were utilized as a training dataset and a clinical validation dataset, respectively, to develop the DL model. A ResNet-34 DL model, with convolutional block attention module (CBAM) block integrated into each unit, was pretrained on the public dataset first and then finetuned on our private dataset to automatically diagnose AMD and assist clinical decision-making. GradCam, a visualization technique, was used to improve the interpretability of our model. Results The precision and recall of our model were, respectively, 84.3% and 87.3% for drusen, 81.2% and 80.0% for inactive CNV, 97.7% and 90.2% for active CNV, and 93.7% and 96.5% for normal. The area under the curve (AUC) corresponding to drusen, inactive CNV, active CNV, and normal for our model reached 0.9395, 0.9476, 0.9880, and 0.9925, respectively. The heatmaps indicated a high level of correspondence in the region of interest between our model and ophthalmologists on the diagnosis. Conclusions The implementation of finetuning and attention mechanism improve the performance of our model in a distinct dataset. Our model successfully assisted in the diagnosis of AMD and achieved a detection precision and recall equal to those of ophthalmologists. The results of our study could contribute to the precise diagnosis of and decision-making regarding AMD.</t>
  </si>
  <si>
    <t>IEEE GEOSCIENCE AND REMOTE SENSING LETTERS</t>
  </si>
  <si>
    <t>Optical remote sensing image (RSI) is easily affected by weather conditions. When the ground target is sheltered by clouds, extracting scene information from the RSI becomes quite challenging. In this work, we propose a distraction-attention-driven adversarial training network (DA2Net) to learn a robust RSI scene classification model. The distraction module employs a gradient-based class activation mapping (GradCAM++) method to produce partially occluded samples. Through feature map visualization, GradCAM++ can quantify the contribution of each region to the network prediction. Regions in the input image are erased and filled with white pixels if the corresponding contribution is higher than a given threshold. In this way, the distraction module enriches the training sample diversity and benefits the network's robustness and generalization performance. Training with the partially erased samples, the model can extract sufficient information from other regions even though the target with prominent features is occluded. The attention module highlights important features and information. It encourages the network to mine critical features from the uncovered regions. Competition between the two modules drives the network to improve its robustness and overall performance. Extensive experiments show that the DA2Net provides a promising approach for data augmentation and network training. Analysis of cloud-covered scene classification demonstrates the DA2Net's robust performance.</t>
  </si>
  <si>
    <t>NEURAL NETWORKS</t>
  </si>
  <si>
    <t>10.1016/j.neunet.2023.04.025</t>
  </si>
  <si>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(c) 2023 The Authors. Published by Elsevier Ltd. This is an open access article under the CC BY license (http://creativecommons.org/licenses/by/4.0/).</t>
  </si>
  <si>
    <t>Book</t>
  </si>
  <si>
    <t>Z. Z. Yang</t>
  </si>
  <si>
    <t>Explainable Learning With Meaningful Perturbations</t>
  </si>
  <si>
    <t>M. Yerachmiel; H. Greenspan</t>
  </si>
  <si>
    <t>Weakly Supervised Brain Tumor Segmentation via Semantic Affinity Deep Neural Network</t>
  </si>
  <si>
    <t>MEDICAL IMAGING 2022: IMAGE PROCESSING</t>
  </si>
  <si>
    <t>10.1117/12.2612775</t>
  </si>
  <si>
    <t>Image segmentation tasks are considered resource intensive. These tasks require domain specialists to labor manually over long periods of time. When considering medical image segmentation tasks, the personnel and the error margin make these tasks expensive. Therefore there is a need for an automated tool. Deep learning has fast become the state of the art for such tasks, yet the methods applied require large data-sets of fully annotated examples. The need for supervision prevents researchers from developing deep learning and machine learning solutions on new datasets, which were not annotated by professional personnel. In this paper we utilize weak supervision to train a deep neural network to perform instance segmentation. The data used for this project is the Multimodal Brain Tumor Segmentation Challenge 3D MRI scans. The method used is a two-step DNN. The first step is binary classification of slices to either pathological or healthy. This is the only step which uses supervision for the training of the DNNs. In the second step, another DNN in the form of a Unet encoder-decoder network is utilized. This network encodes the input raw data and decodes each pixel to a 32 dimensional vector representing a semantic identity (semantic map). The supervision for training this second network is derived from the GradCAM of the classification DNN. Lastly, to segment the input data we determine the semantic distance between suspected lesion points and the entirety of the map. We achieve an average Dice score of 0.73 over three test sets of 38 patients each.</t>
  </si>
  <si>
    <t>G. Yildiz; A. Ulu; B. Dizdaroglu; D. Yildiz</t>
  </si>
  <si>
    <t>Hybrid Image Improving and CNN (HIICNN) Stacking Ensemble Method for Traffic Sign Recognition</t>
  </si>
  <si>
    <t>69536-69552</t>
  </si>
  <si>
    <t>10.1109/ACCESS.2023.3292955</t>
  </si>
  <si>
    <t>Traffic sign recognition techniques aim to reduce the probability of traffic accidents by increasing road and vehicle safety. These systems play an essential role in the development of autonomous vehicles. Autonomous driving is a popular field that is seeing more and more growth. In this study, a new high-performance and robust deep convolutional neural network model is proposed for traffic sign recognition. The stacking ensemble model is presented by combining the trained models by applying improvement methods on the input images. For this, first of all, by performing preprocessing on the data set, more accurate recognition was achieved by preventing adverse weather conditions and shooting errors. In addition, data augmentation was applied to increase the images in the data set due to the uneven distribution of the number of images belonging to the classes. During the model training, the learning rate was adjusted to prevent overfitting. Then, a new stacking ensemble model was created by combining the models trained with the input images that were subjected to different preprocessing. This ensemble model obtained 99.75% test accuracy on the German Traffic Sign Recognition Benchmark (GTSRB) dataset. When compared with other studies in this field in the literature, it is seen that recognition is performed with higher accuracy than these studies. Additively different approaches have been applied for model evaluation. Gradient-weighted Class Activation Mapping (Grad-CAM) was used to make the model explainable. Evidential deep learning approach was applied to measure the uncertainty in classification. Results for safe monitoring are also shared with SafeML-II, which is based on measuring statistical distances. In addition to these, the migration test is applied with BTSC (Belgium Traffic Sign Classification) dataset to test the robustness of the model. With the transfer learning method of the models trained with GTSRB, the parameter weights in the feature extraction stage are preserved, and the training is carried out for the classification stage. Accordingly, with the stacking ensemble model obtained by combining the models trained with transfer learning, a high accuracy of 99.33% is achieved on the BTSC dataset. While the number of parameters the single model is 7.15 M, the number of parameters of the stacking ensemble model with additional layers is 14.34 M. However, the parameters of the models trained on a single preprocessed dataset were not trained, and transfer learning was performed. Thus, the number of trainable parameters in the ensemble model is only 39,643.</t>
  </si>
  <si>
    <t>K. Young; G. Booth; B. Simpson; R. Dutton; S. Shrapnel</t>
  </si>
  <si>
    <t>Deep Neural Network or Dermatologist?</t>
  </si>
  <si>
    <t>INTERPRETABILITY OF MACHINE INTELLIGENCE IN MEDICAL IMAGE COMPUTING AND MULTIMODAL LEARNING FOR CLINICAL DECISION SUPPORT</t>
  </si>
  <si>
    <t>48-55</t>
  </si>
  <si>
    <t>10.1007/978-3-030-33850-3_6</t>
  </si>
  <si>
    <t>Deep learning techniques have proven high accuracy for identifying melanoma in digitised dermoscopic images. A strength is that these methods are not constrained by features that are pre-defined by human semantics. A down-side is that it is difficult to understand the rationale of the model predictions and to identify potential failure modes. This is a major barrier to adoption of deep learning in clinical practice. In this paper we ask if two existing local interpretability methods, GradCAM and Kernel SHAP, can shed light on convolutional neural networks trained in the context of melanoma detection. Our contributions are (i) we first explore the domain space via a reproducible, end-to-end learning framework that creates a suite of 30 models, all trained on a publicly available data set (HAM10000), (ii) we next explore the reliability of GradCAM and Kernel SHAP in this context via some basic sanity check experiments (iii) finally, we investigate a random selection of models from our suite using GradCAM and Kernel SHAP. We show that despite high accuracy, the models will occasionally assign importance to features that are not relevant to the diagnostic task. We also show that models of similar accuracy will produce different explanations as measured by these methods. This work represents first steps in bridging the gap between model accuracy and interpretability in the domain of skin cancer classification.</t>
  </si>
  <si>
    <t>ENGINEERING APPLICATIONS OF ARTIFICIAL INTELLIGENCE</t>
  </si>
  <si>
    <t>10.1016/j.engappai.2023.107079</t>
  </si>
  <si>
    <t>Z. Z. Yuan</t>
  </si>
  <si>
    <t>Differential GradCAM for CNN-Based Fine-Grained Visual Categorization Model</t>
  </si>
  <si>
    <t>Q. Zhang; L. Rao; Y. Yang; I. Assoc Advancement Artificial</t>
  </si>
  <si>
    <t>A Novel Visual Interpretability for Deep Neural Networks by Optimizing Activation Maps with Perturbation</t>
  </si>
  <si>
    <t>THIRTY-FIFTH AAAI CONFERENCE ON ARTIFICIAL INTELLIGENCE, THIRTY-THIRD CONFERENCE ON INNOVATIVE APPLICATIONS OF ARTIFICIAL INTELLIGENCE AND THE ELEVENTH SYMPOSIUM ON EDUCATIONAL ADVANCES IN ARTIFICIAL INTELLIGENCE</t>
  </si>
  <si>
    <t>3377-3384</t>
  </si>
  <si>
    <t>Interpretability has been regarded as an essential component for deploying deep neural networks, in which the saliency-based method is one of the most prevailing interpretable approaches since it can generate individually intuitive heatmaps that highlight parts of the input image that are most important to the decision of the deep networks on a particular classification target. However, heatmaps generated by existing methods either contain little information to represent objects (perturbation-based methods) or cannot effectively locate multi-class objects (activation-based approaches). To address this issue, a two-stage framework for visualizing the interpretability of deep neural networks, called Activation Optimized with Perturbation (AOP), is designed to optimize activation maps generated by general activation-based methods with the help of perturbation-based methods. Finally, in order to obtain better explanations for different types of images, we further present an instance of the AOP framework, Smooth Integrated Gradient-based Class Activation Map (SIGCAM), which proposes a weighted GradCAM by applying the feature map as weight coefficients and employs I-GOS to optimize the base-mask generated by weighted GradCAM. Experimental results on common-used benchmarks, including deletion and insertion tests on ImageNet-1k, and pointing game tests on COCO2017, show that the proposed AOP and SIGCAM outperform the current state-of-the-art methods significantly by generating higher quality image-based saliency maps.</t>
  </si>
  <si>
    <t>Band Selection is a research hotspot in the field of hyperspectral imaging (HSI) processing. This paper proposes a method that selects bands for HSI classification by the explainability of a convolutional neural network (CNN). We design a CNN architecture and use its 1D gradient-weighted class activation mapping (GradCAM) to obtain a gradient-weighted heatmap (GradHM) by the last layer in the well-trained CNN. Since the pooling layer in the CNN leads to a dimension change of the GradHM, cubic spline interpolation (CSI) is used to up-sample the GradHM. To further improve the accuracy of the up-sampled GradHM for the important band, guided backpropagation was adopted to obtain a more detailed GradHM (Guided-GradHM). Finally, based on GradHM and Guided-GradHM, two strategies, named Average Selection (AS) and Total Selection (TS), are proposed to form new and different combinations of methods (GradHM &amp; x002B;AS, GradHM &amp; x002B;TS, Guided-GradHM &amp; x002B;AS, and Guided-GradHM &amp; x002B;TS). In experiments, the proposed methods show better performance compared to other methods. In most cases, if the selected bands were fewer, then the Guided-GradHM &amp; x002B;AS was more credible than the other methods. Furthermore, different datasets were used to validate the proposed methods.</t>
  </si>
  <si>
    <t>Kidney Tumor Segmentation and Classification Using Deep Neural Network on CT Images</t>
  </si>
  <si>
    <t>https://www.scopus.com/inward/record.uri?eid=2-s2.0-85148640875&amp;doi=10.1109%2fDICTA56598.2022.10034638&amp;partnerID=40&amp;md5=6aae26381b40a30674acc5beea824278</t>
  </si>
  <si>
    <t>Classification_x000D_
Computed Tomography (CT)_x000D_
Deep Neural Network (DNN)_x000D_
Kidney Tumor_x000D_
Segmentation_x000D_
VGG16_x000D_
Classification (of information)_x000D_
Computerized tomography_x000D_
Deep neural networks_x000D_
Diseases_x000D_
Image classification_x000D_
Image segmentation_x000D_
Chronic disease_x000D_
Computed tomography_x000D_
Computed tomography images_x000D_
Deep neural network_x000D_
Kidney disease_x000D_
Tumor classification_x000D_
Tumor segmentation_x000D_
Tumors</t>
  </si>
  <si>
    <t>Kidney disease is one of many severe chronic disease that a person can have. Early detection of this disease can be pivotal for proper treatment. Different neural networks have proven to be useful in disease prediction in the progression of modern science. In this paper, we have proposed a segmentation based kidney tumor classification method using Deep Neural Network (DNN). We have done our work in two Steps. Firstly, we have segmented kidneys using a manual segmentation technique and UNet along with SegNet for kidney segmentation. Then, for the classification task, the modified MobileNetV2, VGG16 and InceptionV3 was trained on the segmented kidney data. CT KIDNEY DATASET: Normal-Cyst-Tumor and Stone dataset(published in Kaggle) was used to train our models. Finally, the classification models MobileNetV2, VGG16, InceptionV3 scored with 95.29%, 99.48% and 97.38% accuracy on test set. We found that the VGG16 model has the best accuracy and the highest sensitivity and specificity. Explainable AI (GradCam) method has been applied to expalain our model's result. © 2022 IEEE.</t>
  </si>
  <si>
    <t>https://www.scopus.com/inward/record.uri?eid=2-s2.0-85180409100&amp;doi=10.1109%2fICASSP49357.2023.10097215&amp;partnerID=40&amp;md5=e5144aaf813ceb330fbcbf07e94497d2</t>
  </si>
  <si>
    <t>Economic and social effects_x000D_
Network architecture_x000D_
Action spaces_x000D_
Architecture designs_x000D_
Design change_x000D_
Design Principles_x000D_
Gradient based_x000D_
Neural architectures_x000D_
Search method_x000D_
Search spaces_x000D_
Space-based_x000D_
Trade off_x000D_
Computer vision</t>
  </si>
  <si>
    <t>Differentiable Architecture Search (DARTS) has attracted considerable attention as a gradient-based neural architecture search method. Since the introduction of DARTS, there has been little work done on adapting the action space based on state-of-art architecture design principles for CNNs. In this work, we aim to address this gap by incrementally augmenting the DARTS search space with micro-design changes inspired by ConvNeXt and studying the trade-off between accuracy, evaluation layer count, and computational cost. We introduce the Pseudo-Inverted Bottleneck Conv (PIBConv) block intending to reduce the computational footprint of the inverted bottleneck block proposed in ConvNeXt. Our proposed architecture is much less sensitive to evaluation layer count and outperforms a DARTS network with similar size significantly, at layer counts as small as 2. Furthermore, with less layers, not only does it achieve higher accuracy with lower computational footprint (measured in GMACs) and parameter count, GradCAM comparisons show that our network can better detect distinctive features of target objects compared to DARTS. Code is available from https://github.com/mahdihosseini/PIBConv. © 2023 IEEE.</t>
  </si>
  <si>
    <t>https://www.scopus.com/inward/record.uri?eid=2-s2.0-85131308067&amp;doi=10.3390%2fs22124310&amp;partnerID=40&amp;md5=e4a0df198e4121aee1fbc25586a076d0</t>
  </si>
  <si>
    <t>cardiovascular diseases_x000D_
deep learning_x000D_
DXA_x000D_
machine learning_x000D_
Qatar Biobank (QBB)_x000D_
retina_x000D_
Absorptiometry, Photon_x000D_
Adult_x000D_
Bone Density_x000D_
Case-Control Studies_x000D_
Humans_x000D_
Cardiology_x000D_
Diagnosis_x000D_
Noninvasive medical procedures_x000D_
Ophthalmology_x000D_
Biobanks_x000D_
Cardiovascular disease_x000D_
Control groups_x000D_
Dual-energy X-ray_x000D_
Dual-energy X-ray absorptiometry_x000D_
Qatar biobank_x000D_
Retinal image_x000D_
X-ray absorptiometry_x000D_
case control study_x000D_
diagnostic imaging_x000D_
human_x000D_
photon absorptiometry_x000D_
procedures_x000D_
Diseases</t>
  </si>
  <si>
    <t>Cardiovascular diseases (CVD) are the leading cause of death worldwide. People affected by CVDs may go undiagnosed until the occurrence of a serious heart failure event such as stroke, heart attack, and myocardial infraction. In Qatar, there is a lack of studies focusing on CVD diagnosis based on non-invasive methods such as retinal image or dual-energy X-ray absorptiometry (DXA). In this study, we aimed at diagnosing CVD using a novel approach integrating information from retinal images and DXA data. We considered an adult Qatari cohort of 500 participants from Qatar Biobank (QBB) with an equal number of participants from the CVD and the control groups. We designed a case-control study with a novel multi-modal (combining data from multiple modalities—DXA and retinal images)—to propose a deep learning (DL)-based technique to distinguish the CVD group from the control group. Uni-modal models based on retinal images and DXA data achieved 75.6% and 77.4% accuracy, respectively. The multi-modal model showed an improved accuracy of 78.3% in classifying CVD group and the control group. We used gradient class activation map (GradCAM) to highlight the areas of interest in the retinal images that influenced the decisions of the proposed DL model most. It was observed that the model focused mostly on the centre of the retinal images where signs of CVD such as hemorrhages were present. This indicates that our model can identify and make use of certain prognosis markers for hypertension and ischemic heart disease. From DXA data, we found higher values for bone mineral density, fat content, muscle mass and bone area across majority of the body parts in CVD group compared to the control group indicating better bone health in the Qatari CVD cohort. This seminal method based on DXA scans and retinal images demonstrate major potentials for the early detection of CVD in a fast and relatively non-invasive manner. © 2022 by the authors. Licensee MDPI, Basel, Switzerland.</t>
  </si>
  <si>
    <t>S. Albahli; G. N. A. H. Yar</t>
  </si>
  <si>
    <t>Efficient Grad-Cam-Based Model for COVID-19 Classification and Detection</t>
  </si>
  <si>
    <t>2743-2757</t>
  </si>
  <si>
    <t>https://www.scopus.com/inward/record.uri?eid=2-s2.0-85136574804&amp;doi=10.32604%2fcsse.2023.024463&amp;partnerID=40&amp;md5=02d7dc3a41deeeca195883aa7912441d</t>
  </si>
  <si>
    <t>10.32604/csse.2023.024463</t>
  </si>
  <si>
    <t>CLAHE_x000D_
Convolutional neural networks (CNN)_x000D_
COVID-19_x000D_
data augmentation_x000D_
Grad-Cam_x000D_
pre-trained models_x000D_
X-ray_x000D_
Cams_x000D_
Computerized tomography_x000D_
Convolutional neural networks_x000D_
Viruses_x000D_
Adaptive histograms_x000D_
Contrast limited adaptive histogram equalization_x000D_
Convolutional neural network_x000D_
CT-scan images_x000D_
Histogram equalizations_x000D_
Pre-trained model_x000D_
X-ray image</t>
  </si>
  <si>
    <t>Corona Virus (COVID-19) is a novel virus that crossed an animal-human barrier and emerged in Wuhan, China. Until now it has affected more than 119 million people. Detection of COVID-19 is a critical task and due to a large number of patients, a shortage of doctors has occurred for its detection. In this paper, a model has been suggested that not only detects the COVID-19 using X-ray and CT-Scan images but also shows the affected areas. Three classes have been defined; COVID-19, normal, and Pneumonia for X-ray images. For CT-Scan images, 2 classes have been defined COVID-19 and non-COVID-19. For classification purposes, pre-trained models like ResNet50, VGG-16, and VGG19 have been used with some tuning. For detecting the affected areas Gradient-weighted Class Activation Mapping (GradCam) has been used. As the X-rays and ct images are taken at different intensities, so the contrast limited adaptive histogram equalization (CLAHE) has been applied to see the effect on the training of the models. As a result of these experiments, we achieved a maximum validation accuracy of 88.10% with a training accuracy of 88.48% for CT-Scan images using the ResNet50 model. While for X-ray images we achieved a maximum validation accuracy of 97.31% with a training accuracy of 95.64% using the VGG16 model. © 2023 CRL Publishing. All rights reserved.</t>
  </si>
  <si>
    <t>S. Ali</t>
  </si>
  <si>
    <t>Methods for explainable artificial intelligence</t>
  </si>
  <si>
    <t>Explainable Artificial Intelligence (XAI): Concepts, enabling tools, technologies and applications</t>
  </si>
  <si>
    <t>139-161</t>
  </si>
  <si>
    <t>https://www.scopus.com/inward/record.uri?eid=2-s2.0-85181630960&amp;partnerID=40&amp;md5=b6f2285b4c635825a5054f1c10c097a2</t>
  </si>
  <si>
    <t>As AI models are becoming increasingly regulated by governments, it has become crucial to provide explanations for their decisions. The emergence of XAI has helped us to better understand AI systems and move towards models that can offer human-friendly explanations. However, it remains unclear whether the growing range of XAI methodologies and tools is enough to provide practical support in the risky scenarios that regulatory stakeholders are concerned about. For instance, can an intelligent model be used for a medical diagnosis simply because of the availability of score-CAM or GradCAM? The answer is a resounding NO" because there are no established risk-aware scenarios that can guide the research community on the requirements for implementing XAI-supported AI models in real-world contexts. Therefore, society needs approaches that recognize XAI tools as necessary but insufficient steps toward assessing the trustworthiness of AI-based systems for specific tasks. © The Institution of Engineering and Technology 2023."</t>
  </si>
  <si>
    <t>Information Processing and Management</t>
  </si>
  <si>
    <t>https://www.scopus.com/inward/record.uri?eid=2-s2.0-85144325667&amp;doi=10.1016%2fj.ipm.2022.103225&amp;partnerID=40&amp;md5=a7a48c3de3ecf554dcfc38d654de5530</t>
  </si>
  <si>
    <t>Convolutional neural network_x000D_
Deep learning_x000D_
Interpretability_x000D_
Saliency map_x000D_
Convolutional neural networks_x000D_
Diseases_x000D_
Image segmentation_x000D_
Learning systems_x000D_
Medical imaging_x000D_
Heatmaps_x000D_
Histopathological images_x000D_
Human-level performance_x000D_
Learning models_x000D_
Map methods_x000D_
Natural perturbations_x000D_
Image classification</t>
  </si>
  <si>
    <t>Deep Learning has reached human-level performance in several medical tasks including classification of histopathological images. Continuous effort has been made at finding effective strategies to interpret these types of models, among them saliency maps, which depict the weights of the pixels on the classification as an heatmap of intensity values, have been by far the most used for image classification. However, there is a lack of tools for the systematic evaluation of saliency maps, and existing works introduce non-natural noise such as random or uniform values. To address this issue, we propose an approach to evaluate the faithfulness of the saliency maps by introducing natural perturbations in the image, based on oppose-class substitution, and studying their impact on evaluation metrics adapted from saliency models. We validate the proposed approach on a breast cancer metastases detection dataset PatchCamelyon with 327,680 patches of histopathological images of sentinel lymph node sections. Results show that GradCAM, Guided-GradCAM and gradient-based saliency map methods are sensitive to natural perturbations and correlate to the presence of tumor evidence in the image. Overall, this approach proves to be a solution for the validation of saliency map methods without introducing confounding variables and shows potential for application on other medical imaging tasks. © 2022 Elsevier Ltd</t>
  </si>
  <si>
    <t>A. Arias-Duart; F. Pares; D. Garcia-Gasulla; V. Gimenez-Abalos</t>
  </si>
  <si>
    <t>https://www.scopus.com/inward/record.uri?eid=2-s2.0-85138771587&amp;doi=10.1109%2fFUZZ-IEEE55066.2022.9882821&amp;partnerID=40&amp;md5=62de438930a6a236eab56b6373c0cafe</t>
  </si>
  <si>
    <t>Classification (of information)_x000D_
Computer vision_x000D_
Deep learning_x000D_
Classification datasets_x000D_
Different class_x000D_
Management tool_x000D_
Modeling behaviour_x000D_
Randomisation_x000D_
Visual cues_x000D_
Image recognition</t>
  </si>
  <si>
    <t>AI explainability improves the transparency and trustworthiness of models. However, in the domain of images, where deep learning has succeeded the most, explainability is still poorly assessed. In the field of image recognition many feature attribution methods have been proposed with the purpose of explaining a model's behavior using visual cues. However, no metrics have been established so far to assess and select these methods objectively. In this paper we propose a consistent evaluation score for feature attribution methods-the Focus-designed to quantify their coherency to the task. While most previous work adds out-of-distribution noise to samples, we introduce a methodology to add noise from within the distribution. This is done through mosaics of instances from different classes, and the explanations these generate. On those, we compute a visual pseudo-precision metric, Focus. First, we show the robustness of the approach through a set of randomization experiments. Then we use Focus to compare six popular explainability techniques across several CNN architectures and classification datasets. Our results find some methods to be consistently reliable (LRP, GradCAM), while others produce class-agnostic explanations (SmoothGrad, IG). Finally we introduce another application of Focus, using it for the identification and characterization of biases found in models. This empowers bias-management tools, in another small step towards trustworthy AI. © 2022 IEEE.</t>
  </si>
  <si>
    <t>M. I. Arif; J. Burchert; L. Schmidt-Thieme</t>
  </si>
  <si>
    <t>ConvMix: Combining Intermediate Latent Features in Deep Convolutional Neural Networks</t>
  </si>
  <si>
    <t>13886 LNCS</t>
  </si>
  <si>
    <t>156-174</t>
  </si>
  <si>
    <t>https://www.scopus.com/inward/record.uri?eid=2-s2.0-85161430099&amp;doi=10.1007%2f978-3-031-31438-4_11&amp;partnerID=40&amp;md5=fec3d4f4fdfb3e8be510ec1f52d3defd</t>
  </si>
  <si>
    <t>10.1007/978-3-031-31438-4_11</t>
  </si>
  <si>
    <t>Complex networks_x000D_
Convolution_x000D_
Convolutional neural networks_x000D_
Deep neural networks_x000D_
Computational costs_x000D_
Convolutional neural network_x000D_
Down-stream_x000D_
Embeddings_x000D_
Feature extractor_x000D_
Hyper-parameter_x000D_
Intermediate layers_x000D_
Learning models_x000D_
Performance_x000D_
Regularisation</t>
  </si>
  <si>
    <t>In traditional deep learning models, latent features to the downstream task are received only from the terminal layer of the feature extractor. The intermediate layers of a feature extractor contain significant spatially salient information which, when pooled by the interleaved pooling operations, is lost. These intermediate latent embeddings can improve the overall performance for vision tasks when leveraged properly. Recently, more complex combination schemes leveraging the intermediate embeddings directly for the downstream task have been proposed, but often require additional hyperparameters, increasing their computational cost and have limited generalizability between datasets. In this paper, we propose, ConvMix, a novel, learned combination scheme for intermediate latent features of a deep convolutional neural network which can be trained without incurring additional training cost and can be readily transferred between datasets. ConvMix leverages features at multiple stages of a CNN to distill spatial information in images, and create a richer embedding for the downstream task. Giving the network a ‘wider view’ by leveraging multi-level spatially pooled features of the image enables better regularization by preventing learning specific indentifying features but rather focusing on the wider image itself. We visually confirm this ‘wider view’ via GradCam and show that ConvMix ensure that spatially salient features are prioritized in the latent embeddings. In our experiments on CIFAR10-100, CINIC10, STL10, SVHN and TinyImageNet datasets, we show that our approach not only achieves better performance compared to state-of-the-art approaches but more importantly the percentage gain in performance scales with the increase in model/problem complexity due to the internal regularization effect of ConvMix. © 2023, The Author(s), under exclusive license to Springer Nature Switzerland AG.</t>
  </si>
  <si>
    <t>https://www.scopus.com/inward/record.uri?eid=2-s2.0-85167691294&amp;doi=10.1109%2fACCESS.2023.3299850&amp;partnerID=40&amp;md5=8caec1f24ef0739300a287d05329062e</t>
  </si>
  <si>
    <t>Explainable AI_x000D_
interpretable CNN_x000D_
medical image classification_x000D_
Computer aided diagnosis_x000D_
Convolutional neural networks_x000D_
Decision making_x000D_
Deep neural networks_x000D_
Image classification_x000D_
Image enhancement_x000D_
Image segmentation_x000D_
Medical imaging_x000D_
Network architecture_x000D_
Classification tasks_x000D_
Convolutional neural network_x000D_
Diagnoses of disease_x000D_
Interpretability_x000D_
Learn+_x000D_
Performance_x000D_
Proposed architectures_x000D_
Classification (of information)</t>
  </si>
  <si>
    <t>Medical image classification is critical, where reliability and transparency are crucial for the safe and accurate diagnosis of diseases. Deep Convolutional Neural Networks (DCNNs) are widely used in medical image classification due to their high performance. However, they are often considered black-boxes because they offer little insight into decision-making. Therefore, improving the interpretability of DCNNs is crucial for their adoption in medical diagnoses. This paper proposes a novel three-tier self-interpretable DCNN (TS-CNN) architecture for multi-region medical image classification, which improves classification performance while being inherently interpretable. The proposed TS-CNN architecture is well-suited for medical images with multiple regions, such as images with scattered and randomly shaped lesions. The proposed architecture has three branches: a global branch that learns the relevant patterns from the raw input image; an attention branch that selects the important regions and discards the irrelevant parts for the local branch to learn; and a fusion branch that distills knowledge from both the global and local branches for classification. The proposed architecture is flexible in terms of the backbone CNNs used for classification and post-hoc interpretability methods used for attention capture. We demonstrate the flexibility and generalization of the architecture through a series of experiments involving multiple state-of-the-art CNN architectures such as DenseNet-121, Inception, Xception, and ResNet-50 as the global/local branches, each paired with GradCAM and Saliency maps as attention modules. The proposed architecture outperformed the backbone model in classification tasks on two datasets: a custom-made blob dataset and a publicly available skin lesion PAD-UFES-20 dataset, demonstrating its potential for improving accuracy in medical image classification tasks. The code related to this work can be found at: https://github.com/sikha2552/TS-CNN-A-Three-Tier-Self-Interpretable-CNN-for-Medical-Image-Classification-Empowered-with-Post-hoc.git. © 2013 IEEE.</t>
  </si>
  <si>
    <t>Circuits, Systems, and Signal Processing</t>
  </si>
  <si>
    <t>Birkhauser</t>
  </si>
  <si>
    <t>https://www.scopus.com/inward/record.uri?eid=2-s2.0-85144993381&amp;doi=10.1007%2fs00034-022-02265-3&amp;partnerID=40&amp;md5=4a58b611098eb1dbe754f76e310b924c</t>
  </si>
  <si>
    <t>CNN_x000D_
Deep learning_x000D_
EEG_x000D_
Migraine diagnosis_x000D_
Scalogram_x000D_
Biomedical signal processing_x000D_
Computer aided diagnosis_x000D_
Computer aided instruction_x000D_
Convolution_x000D_
Convolutional neural networks_x000D_
Deep neural networks_x000D_
Learning systems_x000D_
Wavelet transforms_x000D_
Activation mapping_x000D_
Classification performance_x000D_
Computer aided diagnosis systems_x000D_
Convolutional neural network_x000D_
Electroencephalogram signals_x000D_
Learning models_x000D_
Migraine diagnose_x000D_
State of the art_x000D_
Electroencephalography</t>
  </si>
  <si>
    <t>This study presents a computer-aided diagnosis (CAD) system that uses deep learning to diagnose migraine from electroencephalogram (EEG) signals. The proposed method converts EEG signals into scalogram images using the continuous wavelet transform method. Afterward, these scalogram images were given as input to the proposed convolutional neural network (CNN) deep learning network. With the proposed CNN deep learning model, 100% classification success has been achieved with very high accuracy compared to other related literature studies. Comparative analyses of the classification success of the proposed method and the classification performances obtained using state-of-the-art CNN models (VGG16, DenseNet121, ResNET101, and Xception) are presented. It has been observed that this study is superior to state-of-the-art CNN deep learning models compared with low computational complexity, simple network structure (less depth), and high classification performance. In addition, interpretable Gradient-weighted Class Activation Mapping (GradCAM) images were obtained to support the specialist in the diagnosis of migraine. In the study, it is revealed that there is a relationship between EEG recordings and migraine disease in terms of frequency components. When interpretable GradCAM images are examined, it is seen that mid- and high-frequency components are essential in distinguishing between migraine and healthy individuals. Considering the mentioned aspects, it is seen that this study has the potential to be used as a CAD system that can contribute to the expert opinion in distinguishing migraine patients and healthy controls. © 2022, The Author(s), under exclusive licence to Springer Science+Business Media, LLC, part of Springer Nature.</t>
  </si>
  <si>
    <t>2022 19th International Computer Conference on Wavelet Active Media Technology and Information Processing, ICCWAMTIP 2022</t>
  </si>
  <si>
    <t>https://www.scopus.com/inward/record.uri?eid=2-s2.0-85147709676&amp;doi=10.1109%2fICCWAMTIP56608.2022.10016519&amp;partnerID=40&amp;md5=48d32d1fb9d2d50996f69e5f96a27ab1</t>
  </si>
  <si>
    <t>Deep learning_x000D_
Federated learning_x000D_
Lung Cancer_x000D_
Medical imaging_x000D_
Biological organs_x000D_
Clustering algorithms_x000D_
Diseases_x000D_
Forecasting_x000D_
Hospital data processing_x000D_
Cancer prediction_x000D_
Health science_x000D_
High dimensional data_x000D_
Machine-learning_x000D_
Patient data_x000D_
Privacy concerns_x000D_
Research data</t>
  </si>
  <si>
    <t>Machine learning is increasingly significant in health science because it can infer valuable information from high-dimensional data. However, combining research and patient data from various organizations and hospitals is frequently not practical due to privacy concerns. In this research, we conduct a study of federated learning for lung cancer prediction to demonstrate the effectiveness of collaborative and decentralized learning in a context where data is privacy preserved. We also conducted visual interpretation using GradCAM to validate the robust performance of the decentralized method in predicting lung cancer. © 2022 IEEE.</t>
  </si>
  <si>
    <t>https://www.scopus.com/inward/record.uri?eid=2-s2.0-85171577221&amp;doi=10.1109%2fTNNLS.2023.3309889&amp;partnerID=40&amp;md5=cf239b899a003c1023750da46fa41125</t>
  </si>
  <si>
    <t>Annotations_x000D_
Class activation map (CAM)_x000D_
deep learning interpretability_x000D_
Interference_x000D_
Location awareness_x000D_
Object detection_x000D_
object localization_x000D_
Remote sensing_x000D_
remote sensing images (RSIs)_x000D_
Task analysis_x000D_
Visualization_x000D_
weakly supervised learning (WSL)_x000D_
Classification (of information)_x000D_
Deep learning_x000D_
Job analysis_x000D_
Object recognition_x000D_
Supervised learning_x000D_
Activation maps_x000D_
Annotation_x000D_
Class activation map_x000D_
Interpretability_x000D_
Objects detection_x000D_
Remote sensing image_x000D_
Remote sensing images_x000D_
Remote-sensing_x000D_
Weakly supervised learning</t>
  </si>
  <si>
    <t>In recent years, object localization and detection methods in remote sensing images (RSIs) have received increasing attention due to their broad applications. However, most previous fully supervised methods require a large number of time-consuming and labor-intensive instance-level annotations. Compared with those fully supervised methods, weakly supervised object localization (WSOL) aims to recognize object instances using only image-level labels, which greatly saves the labeling costs of RSIs. In this article, we propose a self-directed weakly supervised strategy (SD-WSS) to perform WSOL in RSIs. To specify, we fully exploit and enhance the spatial feature extraction capability of the RSIs&amp;#x2019; classification model to accurately localize the objects of interest. To alleviate the serious discriminative region problem exhibited by previous WSOL methods, the spatial location information implicit in the classification model is carefully extracted by GradCAM&lt;inline-formula&gt; &lt;tex-math notation=LaTeX"&gt;$++$&lt;/tex-math&gt; &lt;/inline-formula&gt; to guide the learning procedure. Furthermore, to eliminate the interference from complex backgrounds of RSIs, we design a novel self-directed loss to make the model optimize itself and explicitly tell it where to look. Finally, we review and annotate the existing remote sensing scene classification dataset and create two new WSOL benchmarks in RSIs, named C45V2 and PN2. We conduct extensive experiments to evaluate the proposed method and six mainstream WSOL methods with three backbones on C45V2 and PN2. The results demonstrate that our proposed method achieves better performance when compared with state-of-the-arts. IEEE"</t>
  </si>
  <si>
    <t>M. S. Bedmutha; S. Raman</t>
  </si>
  <si>
    <t>Using Class Activations to Investigate Semantic Segmentation</t>
  </si>
  <si>
    <t>Communications in Computer and Information Science</t>
  </si>
  <si>
    <t>1378 CCIS</t>
  </si>
  <si>
    <t>151-161</t>
  </si>
  <si>
    <t>https://www.scopus.com/inward/record.uri?eid=2-s2.0-85107476909&amp;doi=10.1007%2f978-981-16-1103-2_14&amp;partnerID=40&amp;md5=cd913c58d21ff09cfc64f8e2cb99af1c</t>
  </si>
  <si>
    <t>10.1007/978-981-16-1103-2_14</t>
  </si>
  <si>
    <t>Class activation maps_x000D_
GradCAM_x000D_
Saliency maps_x000D_
Semantic segmentation_x000D_
Chemical activation_x000D_
Computer vision_x000D_
Deep learning_x000D_
Medical imaging_x000D_
Semantics_x000D_
Activation maps_x000D_
Classification tasks_x000D_
Different class_x000D_
Image segments_x000D_
ITS applications_x000D_
Learning-based segmentation_x000D_
Segmented regions_x000D_
Image segmentation</t>
  </si>
  <si>
    <t>Semantic segmentation is one of the most popular tasks in computer vision. Its applications span from medical image analysis to self driving cars and beyond. For a given image, in semantic segmentation, we generate masks of image segments corresponding to each type or class. However, these segmented maps may either segment a region properly but assign it to a different class or they may have a possibly poor segmented region identification. Hence there is a need to visualize the regions of importance in an image for a given class. Class Activation Maps (CAMs) are popularly used in the classification task to understand the correlation of a class and the regions in an image that correspond to it. We propose a new framework to model the semantic segmentation task as an end to end classification task. This can be used with any deep learning based segmentation network. Using this, we visualize the gradient based CAMs (GradCAM) for the task of semantic segmentation. We also validate our results by using sanity checks for saliency maps and correlate them to those found for the classification task. © 2021, Springer Nature Singapore Pte Ltd.</t>
  </si>
  <si>
    <t>https://www.scopus.com/inward/record.uri?eid=2-s2.0-85179517850&amp;doi=10.1109%2fWINCOM59760.2023.10322998&amp;partnerID=40&amp;md5=b68fac738676bb02bc4d528fe744471e</t>
  </si>
  <si>
    <t>Breast Cancer_x000D_
Detection_x000D_
Grad-CAM_x000D_
ResNet_x000D_
Transfer Learning_x000D_
U-Net_x000D_
Convolution_x000D_
Diseases_x000D_
Image enhancement_x000D_
Image segmentation_x000D_
Mammography_x000D_
Network architecture_x000D_
Breast cancer detection_x000D_
Classification models_x000D_
Mammography images_x000D_
Mass segmentation_x000D_
Convolutional neural networks</t>
  </si>
  <si>
    <t>Breast cancer is a frequent form of cancer for women, and globally it is a major cause of death. Early detection is crucial for effective diagnosis and treatment, and can also help to lower mortality rates. In recent years, Convolutional Neural Networks have been applied to mammography to assist radiologists improve their efficiency and precision. U-Net is a fully convolutional neural network and a popular model that uses the encoder-decoder architecture, it is known for its capacity to effectively segment biomedical images. This work aims to present a new model for breast cancer detection and segmentation. Our first purpose was to discover a reliable segmentation model for breast masses in mammography images by combining the ResNet architecture and U-Net. Subsequently, we trained several standard models for classification in normal and abnormal images, such as ResNet101, ResNet152, DenseNet169, MobileNet, InceptionV3, and NasNet. Furthermore, based on the segmentation model that yielded good experimental results, we created our classification model by modifying the output layers in order to generate a prediction label (Normal or Abnormal) instead of generating a mask. Our study contributes to the field of breast cancer detection by employing a novel approach that performs detection and segmentation directly on the entire mammography image, unlike traditional methods that operate on image patches. The main advantage of the proposed approach is to simplify the workflow of breast masses segmentation by eliminating intermediate steps which can introduce errors and increase the complexity of the system. Furthermore, our approach focuses on reducing false positives, which are a common challenge in breast cancer detection. Our classification model reached better results compared to other experimented classification models. We used the INbreast dataset of mammography images to train and evaluate our models. In addition to that we employed GradCAM in order to visualize the prediction results and to have an interpretation of the results. © 2023 IEEE.</t>
  </si>
  <si>
    <t>https://www.scopus.com/inward/record.uri?eid=2-s2.0-85148691094&amp;doi=10.3390%2fjimaging9020053&amp;partnerID=40&amp;md5=0bfcce80088ee29a7fa38b3bb626708d</t>
  </si>
  <si>
    <t>deep learning_x000D_
EfficientNetB5_x000D_
eXplainable AI_x000D_
GradCAM_x000D_
LIME_x000D_
tomato leaf diseases_x000D_
Fruits_x000D_
Statistical tests_x000D_
Viruses_x000D_
Activation mapping_x000D_
Gradient-weighted class activation mapping_x000D_
Leaf disease_x000D_
Learning models_x000D_
Tomato disease_x000D_
Tomato leaf_x000D_
Tomato leaf disease</t>
  </si>
  <si>
    <t>Early and accurate tomato disease detection using easily available leaf photos is essential for farmers and stakeholders as it help reduce yield loss due to possible disease epidemics. This paper aims to visually identify nine different infectious diseases (bacterial spot, early blight, Septoria leaf spot, late blight, leaf mold, two-spotted spider mite, mosaic virus, target spot, and yellow leaf curl virus) in tomato leaves in addition to healthy leaves. We implemented EfficientNetB5 with a tomato leaf disease (TLD) dataset without any segmentation, and the model achieved an average training accuracy of 99.84% ± 0.10%, average validation accuracy of 98.28% ± 0.20%, and average test accuracy of 99.07% ± 0.38% over 10 cross folds.The use of gradient-weighted class activation mapping (GradCAM) and local interpretable model-agnostic explanations are proposed to provide model interpretability, which is essential to predictive performance, helpful in building trust, and required for integration into agricultural practice. © 2023 by the authors.</t>
  </si>
  <si>
    <t>Convolutional Neural Network (CNN)_x000D_
Domain Specific Hardware Accelerator_x000D_
Explainable AI (XAI)_x000D_
Feature Attribution_x000D_
FPGA_x000D_
GradCAM_x000D_
High Level Synthesis (HLS)_x000D_
Convolutional neural networks_x000D_
Cost reduction_x000D_
Deep neural networks_x000D_
High level synthesis_x000D_
Convolutional neural network_x000D_
Domain specific_x000D_
Hardware accelerators_x000D_
High-level synthesis_x000D_
Specific hardware_x000D_
Field programmable gate arrays (FPGA)</t>
  </si>
  <si>
    <t>Explainable AI (XAI) methods provide insights into the operation of black-box Deep Neural Network (DNN) models. GradCAM, an XAI algorithm, provides an explanation by highlighting regions in the input feature space that were relevant to the model's output. It involves a gradient computation step that adds a significant overhead compared to inference and hinders providing explanations to end-users. In this work, we identify the root cause of the problem to be the dynamic run-time automatic differentiation. To overcome this issue, we propose to offload the gradient computation step to compile time via analytic evaluation. We validate the idea by designing an FPGA implementation of GradCAM that schedules the entire computation graph statically. For a TinyML ResNet18 model, we achieve a reduction in the explanation generation overhead from &gt; 2× using software frameworks on CPU/GPU systems to &lt; 0.01× on the FPGA using our designed hardware and static scheduling. © 2023 IEEE.</t>
  </si>
  <si>
    <t>https://www.scopus.com/inward/record.uri?eid=2-s2.0-85102253351&amp;doi=10.7717%2fpeerj-cs.348&amp;partnerID=40&amp;md5=f4e2c917cc895eb593f2bd565f679c9d</t>
  </si>
  <si>
    <t>Cervical cancer_x000D_
Cervical cytology_x000D_
Convolution neural network_x000D_
Deep learning_x000D_
Herlev_x000D_
Metamorphic analysis_x000D_
Papanicolaou smear_x000D_
Progressive resizing_x000D_
Sipakmed_x000D_
Transfer learning_x000D_
Convolutional neural networks_x000D_
Diseases_x000D_
Extraction_x000D_
Feature extraction_x000D_
Image analysis_x000D_
Image enhancement_x000D_
Iterative methods_x000D_
Learning systems_x000D_
Multilayer neural networks_x000D_
Network layers_x000D_
WSI circuits_x000D_
Binary Classification Approach_x000D_
Cervical intraepithelial neoplasias_x000D_
Computer vision techniques_x000D_
Feature hierarchies_x000D_
Multi-class classification_x000D_
Optimum feature extraction_x000D_
Visual localization_x000D_
Classification (of information)</t>
  </si>
  <si>
    <t>Cervical intraepithelial neoplasia (CIN) and cervical cancer are major health problems faced by women worldwide. The conventional Papanicolaou (Pap) smear analysis is an effective method to diagnose cervical pre-malignant and malignant conditions by analyzing swab images. Various computer vision techniques can be explored to identify potential precancerous and cancerous lesions by analyzing the Pap smear image. The majority of existing work cover binary classification approaches using various classifiers and Convolution Neural Networks. However, they suffer from inherent challenges for minute feature extraction and precise classification. We propose a novel methodology to carry out the multiclass classification of cervical cells from Whole Slide Images (WSI) with optimum feature extraction. The actualization of Conv Net with Transfer Learning technique substantiates meaningful Metamorphic Diagnosis of neoplastic and pre-neoplastic lesions. As the Progressive Resizing technique (an advanced method for training ConvNet) incorporates prior knowledge of the feature hierarchy and can reuse old computations while learning new ones, the model can carry forward the extracted morphological cell features to subsequent Neural Network layers iteratively for elusive learning. The Progressive Resizing technique superimposition in consultation with the Transfer Learning technique while training the Conv Net models has shown a substantial performance increase. The proposed binary and multiclass classification methodology succored in achieving benchmark scores on the Herlev Dataset. We achieved singular multiclass classification scores for WSI images of the SIPaKMed dataset, that is, accuracy (99.70%), precision (99.70%), recall (99.72%), F-Beta (99.63%), and Kappa scores (99.31%), which supersede the scores obtained through principal methodologies. GradCam based feature interpretation extends enhanced assimilation of the generated results, highlighting the pre-malignant and malignant lesions by visual localization in the images. © 2021. All Rights Reserved.</t>
  </si>
  <si>
    <t>Systematic comparison of 3D Deep learning and classical machine learning explanations for Alzheimer's Disease detection</t>
  </si>
  <si>
    <t>https://www.scopus.com/inward/record.uri?eid=2-s2.0-85183997059&amp;doi=10.1016%2fj.compbiomed.2024.108029&amp;partnerID=40&amp;md5=04e1240ab6457ef076b3b918b0ebbb09</t>
  </si>
  <si>
    <t>10.1016/j.compbiomed.2024.108029</t>
  </si>
  <si>
    <t>3D CNN_x000D_
Alzheimer's Disease_x000D_
GradCAM_x000D_
Interpretable Machine Learning_x000D_
LIME_x000D_
SHAP_x000D_
Adaptive boosting_x000D_
Brain_x000D_
Convolutional neural networks_x000D_
Decision trees_x000D_
Deep learning_x000D_
Learning systems_x000D_
Neurodegenerative diseases_x000D_
Neuroimaging_x000D_
Textures_x000D_
Activation mapping_x000D_
Alzheimers disease_x000D_
Gradient-weighted class activation mapping_x000D_
Local interpretable model-agnostic explanation_x000D_
Machine learning models_x000D_
Machine-learning_x000D_
Shapley_x000D_
Shapley additive explanation_x000D_
Support vector machines</t>
  </si>
  <si>
    <t>Black-box deep learning (DL) models trained for the early detection of Alzheimer's Disease (AD) often lack systematic model interpretation. This work computes the activated brain regions during DL and compares those with classical Machine Learning (ML) explanations. The architectures used for DL were 3D DenseNets, EfficientNets, and Squeeze-and-Excitation (SE) networks. The classical models include Random Forests (RFs), Support Vector Machines (SVMs), eXtreme Gradient Boosting (XGBoost), Light Gradient Boosting (LightGBM), Decision Trees (DTs), and Logistic Regression (LR). For explanations, SHapley Additive exPlanations (SHAP) values, Local Interpretable Model-agnostic Explanations (LIME), Gradient-weighted Class Activation Mapping (GradCAM), GradCAM++ and permutation-based feature importance were implemented. During interpretation, correlated features were consolidated into aspects. All models were trained on the Alzheimer's Disease Neuroimaging Initiative (ADNI) dataset. The validation includes internal and external validation on the Australian Imaging and Lifestyle flagship study of Ageing (AIBL) and the Open Access Series of Imaging Studies (OASIS). DL and ML models reached similar classification performances. Regarding the brain regions, both types focus on different regions. The ML models focus on the inferior and middle temporal gyri, and the hippocampus, and amygdala regions previously associated with AD. The DL models focus on a wider range of regions including the optical chiasm, the entorhinal cortices, the left and right vessels, and the 4th ventricle which were partially associated with AD. One explanation for the differences is the input features (textures vs. volumes). Both types show reasonable similarity to a ground truth Voxel-Based Morphometry (VBM) analysis. Slightly higher similarities were measured for ML models. © 2024 The Author(s)</t>
  </si>
  <si>
    <t>12414 LNAI</t>
  </si>
  <si>
    <t>https://www.scopus.com/inward/record.uri?eid=2-s2.0-85111375211&amp;doi=10.1007%2f978-3-030-77091-4_3&amp;partnerID=40&amp;md5=675a9a396c23f8ce77f21071c5ef5568</t>
  </si>
  <si>
    <t>Chest X-ray images_x000D_
Convolutional Neural Networks_x000D_
COVID-19_x000D_
GradCAM_x000D_
Tuberculosis_x000D_
Decision support systems_x000D_
Deep learning_x000D_
Diagnosis_x000D_
Image classification_x000D_
Learning systems_x000D_
Neural networks_x000D_
Viruses_x000D_
Chest X-ray image_x000D_
Classification tasks_x000D_
Clinical decision support_x000D_
Experimental analysis_x000D_
High permeability_x000D_
Infections disease_x000D_
Lethal conditions_x000D_
Multiple Classification_x000D_
Diseases</t>
  </si>
  <si>
    <t>Pneumonia has been recognized as a common and potentially lethal condition for nearly two centuries. The COVID-19 disease caused by the SARS-CoV-2 virus first appeared in Wuhan, China, and is considered a serious disease due to its high permeability, and contagiousness. Patients with COVID-19 may suffer from cough, fever, tiredness, dyspnea, and other signs and symptoms similar to those of tuberculosis (TB) and other respiratory infections disease. The similarity of COVID-19 disease with other lung infections, along with its high spreading rate, makes the diagnosis difficult. Solutions based on machine learning techniques achieved relevant results in identifying the correct disease and providing early diagnosis, and can hence provide significant clinical decision support; however, such approaches suffer from the lack of proper means for interpreting the choices made by the models, especially in case of deep learning ones. With the aim to improve interpretability and explainability in the process of making qualified decisions, we designed a system that allows a partial opening of this black box by means of proper investigations on the rationale behind the decisions. We tested our approach over artificial neural networks trained for multiple classifications based on Chest X-ray images; our tool analyzed the internal processes performed by the networks during the classification tasks to identify the most important elements involved in the training process that influence the network’s decisions. We report the results of an experimental analysis aimed at assessing the viability of the proposed approach. © 2021, Springer Nature Switzerland AG.</t>
  </si>
  <si>
    <t>CNN_x000D_
component_x000D_
DCASE2022Task4_x000D_
Grad-CAM_x000D_
weakly supervised algorithm_x000D_
Classification (of information)_x000D_
Convolution_x000D_
Feature extraction_x000D_
Multilayer neural networks_x000D_
Audio event detection_x000D_
Classification features_x000D_
Classification tasks_x000D_
Convolutional neural network_x000D_
Detection tasks_x000D_
Supervised algorithm_x000D_
Convolutional neural networks</t>
  </si>
  <si>
    <t>Grad­CAM weakly supervised algorithm is usually used in classification tasks as a feature visualization method. This method can mark the pixel points determined by CNN as classification features by the target layer parameters of convolutional neural network. Based on the ability of Grad­CAM to locate classification features, this paper combines the audio event detection task with Grad­CAM algorithm to form an audio event detection system based on Grad­CAM.The feature localization ability obtained by convolutional neural network in the audio event classification task is used to assist in completing the audio event detection task. In the experiment based on DCASE2022task4 dataset, the PSDS2 score of 0.74157 is higher than the baseline system with PSDS2 score of 0.54336. © 2022 IEEE.</t>
  </si>
  <si>
    <t>Brain–Computer Interface (BCI)_x000D_
Convolutional neural networks_x000D_
GradCAM++_x000D_
Image-based learning_x000D_
Motor imagery</t>
  </si>
  <si>
    <t>Brain activity stimulated by the motor imagery paradigm (MI) is measured by Electroen-cephalography (EEG), which has several advantages to be implemented with the widely used Brain–Computer Interfaces (BCIs) technology. However, the substantial inter/intra variability of recorded data significantly influences individual skills on the achieved performance. This study explores the ability to distinguish between MI tasks and the interpretability of the brain’s ability to produce elicited mental responses with improved accuracy. We develop a Deep and Wide Convolu-tional Neuronal Network fed by a set of topoplots extracted from the multichannel EEG data. Further, we perform a visualization technique based on gradient-based class activation maps (namely, Grad-Cam++) at different intervals along the MI paradigm timeline to account for intra-subject variability in neural responses over time. We also cluster the dynamic spatial representation of the extracted maps across the subject set to come to a deeper understanding of MI-BCI coordination skills. According to the results obtained from the evaluated GigaScience Database of motor-evoked potentials, the developed approach enhances the physiological explanation of motor imagery in aspects such as neural synchronization between rhythms, brain lateralization, and the ability to predict the MI onset responses and their evolution during training sessions. © 2022 by the authors. Licensee MDPI, Basel, Switzerland.</t>
  </si>
  <si>
    <t>Proceedings - 2023 IEEE/CVF International Conference on Computer Vision Workshops, ICCVW 2023</t>
  </si>
  <si>
    <t>https://www.scopus.com/inward/record.uri?eid=2-s2.0-85182953887&amp;doi=10.1109%2fICCVW60793.2023.00022&amp;partnerID=40&amp;md5=7188379148e39c57434be6918288563f</t>
  </si>
  <si>
    <t>We present a set of metrics that utilize vision priors to effectively assess the performance of saliency methods on image classification tasks. To understand behavior in deep learning models, many methods provide visual saliency maps emphasizing image regions that most contribute to a model prediction. However, there is limited work on analyzing the reliability of saliency methods in explaining model decisions. We propose the metric COnsistency-SEnsitivity (COSE) that quantifies the equivariant and invariant properties of visual model explanations using simple data augmentations. Through our metrics, we show that although saliency methods are thought to be architecture-independent, most methods could better explain transformer-based models over convolutional-based models. In addition, GradCAM was found to outperform other methods in terms of COSE but was shown to have limitations such as lack of variability for fine-grained datasets. The duality between consistency and sensitivity allow the analysis of saliency methods from different angles. Ultimately, we find that it is important to balance these two metrics for a saliency map to faithfully show model behavior. © 2023 IEEE.</t>
  </si>
  <si>
    <t>2021 12th International Conference on Computing Communication and Networking Technologies, ICCCNT 2021</t>
  </si>
  <si>
    <t>https://www.scopus.com/inward/record.uri?eid=2-s2.0-85126209624&amp;doi=10.1109%2fICCCNT51525.2021.9580160&amp;partnerID=40&amp;md5=37afc0f75d7ed86835a8a24044e368f7</t>
  </si>
  <si>
    <t>Breast cancer detection_x000D_
computer-aided detection_x000D_
convolutional neural network_x000D_
deep learning_x000D_
residual network_x000D_
transfer learning_x000D_
Computer aided instruction_x000D_
Convolution_x000D_
Deep neural networks_x000D_
Diseases_x000D_
Learning algorithms_x000D_
Medical imaging_x000D_
Network architecture_x000D_
Ultrasonic applications_x000D_
Breast Cancer_x000D_
Computer aided detection_x000D_
Detection algorithm_x000D_
Patient survivals_x000D_
Ultrasound images_x000D_
Convolutional neural networks</t>
  </si>
  <si>
    <t>Breast cancer is one of the most leading causes of cancer globally, affecting mostly women at any age after their puberty. Although the disease is fatal and leads to thousands of deaths yearly, it is mostly curable if detected in its early stages. As a result, fast and accurate detection techniques play a crucial role in patient survival. Earlier, doctors resorted to manual detection techniques for this purpose. However, these techniques were slow and often subjective to the expertise of the doctor. Thus, with the advancement of technology, these primitive methods were replaced by computer-aided detection algorithms. One such algorithm is the convolutional neural network (CNN). It is a deep learning algorithm that has demonstrated promising results in medical image analysis in the past few years. It possesses special neural receptors called filters, which can automatically extract features from an image without human intervention. This fascinating property has urged several researchers to propose different CNN architectures in the past few years, each having its unique methodology. In this work, the residual network (ResNet) architecture is studied for detecting breast cancer from ultrasound images. ResNets have special skip connections which make them superior to other architectures. Depending on the depth, a ResNet can be categorized into different types - ResNet-18, ResNet-34, ResNet-50, ResNet-101, and ResNet-152 being some widely used ones. In this research, each of these five ResNets is trained on the Breast Ultrasound Images (BUSI) dataset twice - first from scratch and second using transfer learning. Thereafter, their performances are evaluated and compared using four metrics - F1-score, precision, recall, and accuracy. The confusion matrices are also plotted for a better understanding of the results. Lastly, the class activation heatmaps are generated using GradCAM++ to visualize the crucial regions of the ultrasound images as interpreted by the ResNet architectures. The code used to conduct this research can be accessed at https://github.com/iamarijit/US-cancer-resnet. © 2021 IEEE.</t>
  </si>
  <si>
    <t>L. A. De Santi; F. Bargagna; M. F. Santarelli; V. Positano</t>
  </si>
  <si>
    <t>Evaluating Explanations of an Alzheimer’s Disease 18F-FDG Brain PET Black-Box Classifier</t>
  </si>
  <si>
    <t>1901 CCIS</t>
  </si>
  <si>
    <t>558-581</t>
  </si>
  <si>
    <t>https://www.scopus.com/inward/record.uri?eid=2-s2.0-85176955430&amp;doi=10.1007%2f978-3-031-44064-9_30&amp;partnerID=40&amp;md5=598862b0d463e22a0e01711d9d26349c</t>
  </si>
  <si>
    <t>10.1007/978-3-031-44064-9_30</t>
  </si>
  <si>
    <t>Attribution Maps_x000D_
Black-box DL_x000D_
Evaluating XAI_x000D_
Latent Space Interpretation_x000D_
Medical Imaging_x000D_
Posthoc Explanations_x000D_
Backpropagation_x000D_
Deep neural networks_x000D_
Alzheimer_x000D_
Attribution map_x000D_
Black box modelling_x000D_
Black boxes_x000D_
Imaging applications_x000D_
Layer-wise_x000D_
Posthoc explanation</t>
  </si>
  <si>
    <t>eXplainable Artificial Intelligence (XAI) has been increasingly applied to interpret Deep Neural Networks (DNN) in medical imaging applications, but a general consensus about the best interpretation strategy is missing. This is also due to the absence of a validated framework to assess the quality of the explanations/interpretations produced by different XAI methods. This work aims to quantify the ability of interpretation techniques of producing good explanations and non-misleading representations of what a black-box model has learned. We selected a DNN which classifies 18F-FDG PET images according to the cognitive decline in Alzheimer’s disease, and we applied two different interpretability methods commonly employed in bioimaging: attribution maps (Backpropagation, GradCAM++, Layerwise Relevance Propagation), and latent space interpretation (t-SNE, UMAP, TriMAP, PaCMAP). We evaluated the interpretations using different literature frameworks: evaluation of attribution maps with imaging biomarkers and region perturbation, and preservation of data local and global structure of the latent space. Results suggested that we are not able to observe a clear relationship between the PET signal and attribution maps, highlighting the importance of not assuming that XAI explanations should reflect the human’s reasoning. Layerwise Relevance Propagation best explains the classifier’s decisions according to the region-perturbation evaluation, confirming literature results. Finally, the UMAP and the TriMAP embedding respectively reported the best result for the preservation of the local and the global data structure, which is, to the best of our knowledge, the first systematic assessment in the medical imaging domain, and in line with theoretical background of the methods employed. © 2023, The Author(s), under exclusive license to Springer Nature Switzerland AG.</t>
  </si>
  <si>
    <t>Biomarkers_x000D_
Convolution neural networks_x000D_
Elephant photo reidentification_x000D_
GradCAM_x000D_
Xception_x000D_
YOLO</t>
  </si>
  <si>
    <t>Zoologists visually recognise each Asian elephant (Elephas maximus), mainly based on their ear patterns. Towards automating this process, the existing methods on African elephants are less instrumental for Asian elephants, because the nick patterns are rare. This paper presents a cascade of Convolutional Neural Networks for uniquely detecting Asian elephants with two steps: (1) an elephant-ear localisation step at a species level, and (2) an ear-patch classification step at an individual level. First, a YOLO CNN with pre-trained weights on ImageNet is retrained with manually cropped elephant ears to localise them in the colour image. Second, these cropped ear patches are learnt by a CNN to classify each elephant by the Zoologist’s labelling; Xception outperformed VGG16, ResNet50, InceptionV3, and AlexNet in this second step on 56 elephants. Xception produced a top-1 accuracy of 88% and top-5 accuracy of 99.27% for reidentification as the best performance. Discriminative regions of elephant ears were visually explained by GradCAM on Xception reidentification classifier. © 2022, The Author(s), under exclusive licence to Springer Nature Singapore Pte Ltd.</t>
  </si>
  <si>
    <t>G. Deepank; S. Bisht; A. Verma; R. Tharun Raj; R. Jyothi</t>
  </si>
  <si>
    <t>Crop Disease Auto-localization and Classification</t>
  </si>
  <si>
    <t>1673 CCIS</t>
  </si>
  <si>
    <t>52-65</t>
  </si>
  <si>
    <t>https://www.scopus.com/inward/record.uri?eid=2-s2.0-85145008246&amp;doi=10.1007%2f978-3-031-21385-4_5&amp;partnerID=40&amp;md5=2d30542ac2ef32eb527286069fb35446</t>
  </si>
  <si>
    <t>10.1007/978-3-031-21385-4_5</t>
  </si>
  <si>
    <t>Classification_x000D_
Crops_x000D_
Deep learning_x000D_
Image processing_x000D_
Localization_x000D_
Image classification_x000D_
Image segmentation_x000D_
Learning algorithms_x000D_
Learning systems_x000D_
Auto localizations_x000D_
Crop disease_x000D_
Disease detection_x000D_
Human interference_x000D_
Images processing_x000D_
Localisation_x000D_
Machine-learning_x000D_
Plant disease_x000D_
Vision machine</t>
  </si>
  <si>
    <t>Plant disease detection plays an important role in the agriculture field, as different diseases affecting the growth of plants is inevitable. If suitable measures are not taken in time with respect to this aspect, then it harms the crop, resulting in substantial decrease in the quality of yield produced. This is where AI can be quite useful. It reduces human interference in monitoring big farms and aids in the detection of symptoms of diseases in time to find a solution. Computer vision, machine learning and deep learning algorithms are being used to process this data. In this paper, digital image processing and deep learning models (different architectures and algorithms) were used for classification (type of microorganism and disease) with localization and detection of the diseases (pre-conditions/symptoms) present in the plant crops. An attempt was made to carry out image segmentation in a novel way, using the DICOM format. The GradCAM algorithm was used to perform a detailed analysis of various deep learning algorithms to validate the accuracy with which each algorithm classifies the diseases. Furthermore, bounding box regression was performed to locate the disease symptoms on each image. Lastly, the whole process was automated by hosting it on a web application for an easier user experience. © 2022, The Author(s), under exclusive license to Springer Nature Switzerland AG.</t>
  </si>
  <si>
    <t>International Journal of Imaging Systems and Technology</t>
  </si>
  <si>
    <t>https://www.scopus.com/inward/record.uri?eid=2-s2.0-85100336719&amp;doi=10.1002%2fima.22544&amp;partnerID=40&amp;md5=cfc97ef6620f3c14c3020b1d4cf2129b</t>
  </si>
  <si>
    <t>CNN model_x000D_
Corona_x000D_
COVID-19_x000D_
deep learning_x000D_
global pandemic_x000D_
X-ray_x000D_
Convolution_x000D_
Convolutional neural networks_x000D_
Diagnosis_x000D_
Intellectual property_x000D_
Laws and legislation_x000D_
Learning systems_x000D_
Automatic feature extraction_x000D_
Chest X-ray image_x000D_
Comparative analysis_x000D_
Intellectual property rights_x000D_
Multi-class classification_x000D_
Present situation_x000D_
Real-time dataset_x000D_
Registration number</t>
  </si>
  <si>
    <t>The objective of this research is to develop a convolutional neural network model ‘COVID-Screen-Net’ for multi-class classification of chest X-ray images into three classes viz. COVID-19, bacterial pneumonia, and normal. The model performs the automatic feature extraction from X-ray images and accurately identifies the features responsible for distinguishing the X-ray images of different classes. It plots these features on the GradCam. The authors optimized the number of convolution and activation layers according to the size of the dataset. They also fine-tuned the hyperparameters to minimize the computation time and to enhance the efficiency of the model. The performance of the model has been evaluated on the anonymous chest X-ray images collected from hospitals and the dataset available on the web. The model attains an average accuracy of 97.71% and a maximum recall of 100%. The comparative analysis shows that the ‘COVID-Screen-Net’ outperforms the existing systems for screening of COVID-19. The effectiveness of the model is validated by the radiology experts on the real-time dataset. Therefore, it may prove a useful tool for quick and low-cost mass screening of patients of COVID-19. This tool may reduce the burden on health experts in the present situation of the Global Pandemic. The copyright of this tool is registered in the names of authors under the laws of Intellectual Property Rights in India with the registration number ‘SW-13625/2020’. © 2021 Wiley Periodicals LLC.</t>
  </si>
  <si>
    <t>COVID Detection from Chest X-Ray Images Using Multi-Scale Attention</t>
  </si>
  <si>
    <t>https://www.scopus.com/inward/record.uri?eid=2-s2.0-85124813422&amp;doi=10.1109%2fJBHI.2022.3151171&amp;partnerID=40&amp;md5=4221e7bacffc60f73c8bd99666c66560</t>
  </si>
  <si>
    <t>2019-nCoV_x000D_
attention_x000D_
chest X-ray_x000D_
classification_x000D_
COVID_x000D_
explainability_x000D_
pneumonia_x000D_
SARS-CoV-2_x000D_
Algorithms_x000D_
COVID-19_x000D_
Deep Learning_x000D_
Humans_x000D_
Neural Networks, Computer_x000D_
X-Rays_x000D_
Architecture_x000D_
Computerized tomography_x000D_
Fertilizers_x000D_
Chest x-rays_x000D_
Coronavirus disease_x000D_
Coronavirus disease-19_x000D_
Coronaviruses_x000D_
X-ray imaging_x000D_
Article_x000D_
classification algorithm_x000D_
coronavirus disease 2019_x000D_
cross validation_x000D_
disease classification_x000D_
human_x000D_
image segmentation_x000D_
learning algorithm_x000D_
mathematical model_x000D_
Severe acute respiratory syndrome coronavirus 2_x000D_
thorax radiography_x000D_
training_x000D_
algorithm_x000D_
diagnostic imaging_x000D_
X ray_x000D_
Coronavirus_x000D_
SARS</t>
  </si>
  <si>
    <t>Deep learning based methods have shown great promise in achieving accurate automatic detection of Coronavirus Disease (covid) - 19 from Chest X-Ray (cxr) images.However, incorporating explainability in these solutions remains relatively less explored. We present a hierarchical classification approach for separating normal, non-covid pneumonia (ncp) and covid cases using cxr images. We demonstrate that the proposed method achieves clinically consistent explainations. We achieve this using a novel multi-scale attention architecture called Multi-scale Attention Residual Learning (marl) and a new loss function based on conicity for training the proposed architecture. The proposed classification strategy has two stages. The first stage uses a model derived from DenseNet to separate pneumonia cases from normal cases while the second stage uses the marl architecture to discriminate between covid and ncp cases. With a five-fold cross validation the proposed method achieves 93%, 96.28%, and 84.51% accuracy respectively over three large, public datasets for normal vs. ncp vs. covid classification. This is competitive to the state-of-the-art methods. We also provide explanations in the form of GradCAM attributions, which are well aligned with expert annotations. The attributions are also seen to clearly indicate that marl deems the peripheral regions of the lungs to be more important in the case of covid cases while central regions are seen as more important in ncp cases. This observation matches the criteria described by radiologists in clinical literature, thereby attesting to the utility of the derived explanations. © 2013 IEEE.</t>
  </si>
  <si>
    <t>F. Dibitonto; F. Garcea; A. Panisson; A. Perotti; L. Morra</t>
  </si>
  <si>
    <t>HOLMES: HOLonym-MEronym Based Semantic Inspection for Convolutional Image Classifiers</t>
  </si>
  <si>
    <t>1902 CCIS</t>
  </si>
  <si>
    <t>475-498</t>
  </si>
  <si>
    <t>https://www.scopus.com/inward/record.uri?eid=2-s2.0-85175990853&amp;doi=10.1007%2f978-3-031-44067-0_25&amp;partnerID=40&amp;md5=2e3caf608c69614bc30f17cb877c5429</t>
  </si>
  <si>
    <t>10.1007/978-3-031-44067-0_25</t>
  </si>
  <si>
    <t>computer vision_x000D_
convolutional neural networks_x000D_
deep learning_x000D_
explainability_x000D_
machine learning_x000D_
XAI_x000D_
Convolution_x000D_
Image classification_x000D_
Learning systems_x000D_
Transfer learning_x000D_
Vision_x000D_
Convolutional neural network_x000D_
Extraction process_x000D_
Features extraction_x000D_
Heatmaps_x000D_
Image Classifiers_x000D_
Machine-learning_x000D_
Visual tasks_x000D_
Semantics</t>
  </si>
  <si>
    <t>Convolutional Neural Networks (CNNs) are nowadays the model of choice in Computer Vision, thanks to their ability to automatize the feature extraction process in visual tasks. However, the knowledge acquired during training is fully sub-symbolic, and hence difficult to understand and explain to end users. In this paper, we propose a new technique called HOLMES (HOLonym-MEronym based Semantic inspection) that decomposes a label into a set of related concepts, and provides component-level explanations for an image classification model. Specifically, HOLMES leverages ontologies, web scraping and transfer learning to automatically construct meronym (parts)-based detectors for a given holonym (class). Then, it produces heatmaps at the meronym level and finally, by probing the holonym CNN with occluded images, it highlights the importance of each part on the classification output. Compared to state-of-the-art saliency methods, HOLMES takes a step further and provides information about both where and what the holonym CNN is looking at. It achieves so without relying on densely annotated datasets and without forcing concepts to be associated to single computational units. Extensive experimental evaluation on different categories of objects (animals, tools and vehicles) shows the feasibility of our approach. On average, HOLMES explanations include at least two meronyms, and the ablation of a single meronym roughly halves the holonym model confidence. The resulting heatmaps were quantitatively evaluated using the deletion/insertion/preservation curves. All metrics were comparable to those achieved by GradCAM, while offering the advantage of further decomposing the heatmap in human-understandable concepts. In addition, results were largely above chance level, thus highlighting both the relevance of meronyms to object classification, as well as HOLMES ability to capture it. The code is available at https://github.com/FrancesC0de/HOLMES. © 2023, The Author(s), under exclusive license to Springer Nature Switzerland AG.</t>
  </si>
  <si>
    <t>S. M. Dipto; M. T. Reza; M. N. J. Rahman; M. Z. Parvez; P. D. Barua; S. Chakraborty</t>
  </si>
  <si>
    <t>An XAI Integrated Identification System of White Blood Cell Type Using Variants of Vision Transformer</t>
  </si>
  <si>
    <t>721 LNNS</t>
  </si>
  <si>
    <t>303-315</t>
  </si>
  <si>
    <t>https://www.scopus.com/inward/record.uri?eid=2-s2.0-85164711910&amp;doi=10.1007%2f978-3-031-35308-6_26&amp;partnerID=40&amp;md5=8848e9989d7c488226e43ef59c67742e</t>
  </si>
  <si>
    <t>10.1007/978-3-031-35308-6_26</t>
  </si>
  <si>
    <t>Blood Cell_x000D_
Eosinophil_x000D_
GradCam_x000D_
Lymphocyte_x000D_
Monocyte_x000D_
Neutrophil_x000D_
Transformer_x000D_
Vision Transformer_x000D_
White Blood Cell_x000D_
Blood_x000D_
Cells_x000D_
Computer aided instruction_x000D_
Cytology_x000D_
Learning algorithms_x000D_
Learning systems_x000D_
Natural language processing systems_x000D_
Activation mapping_x000D_
Blood cells_x000D_
Cell types_x000D_
Eosinophile_x000D_
Gradient-weighted class activation mapping_x000D_
Neutrophile_x000D_
White blood cells_x000D_
Deep learning</t>
  </si>
  <si>
    <t>White Blood Cells (WBCs) serve as one of the primary defense mechanisms against various diseases. Therefore, in order to detect blood cancer as well as many other disorders, routine WBC monitoring may be necessary. Numerous studies have proposed automated 4 types of WBC detection through Machine Learning and Deep Learning based solutions. However, transformers based applications, which primarily originated from the field of Natural Language Processing, are very scarce. Our proposed study showcases the applications of Vision Transformers (VTs) for WBC type identification. Firstly, a pre-augmented dataset of nearly 12,500 images was taken. Afterward, two variants of VTs were trained and evaluated on the dataset. Our analysis revealed that the accuracy for all the models ranged from 83% to 85%, making the performance of the VTs equivalent to that of the standard Deep Learning models. Meanwhile, VTs have demonstrated significantly faster learning symptoms during the training phase, which can be useful when one wants to maximize learning through fewer epochs, for example, in a federated learning environment. Finally, the application of Explainable AI (XAI) was visualized on the VTs using Gradient-weighted Class Activation Mapping (GradCam). © 2023, The Author(s), under exclusive license to Springer Nature Switzerland AG.</t>
  </si>
  <si>
    <t>211 LNNS</t>
  </si>
  <si>
    <t>981-990</t>
  </si>
  <si>
    <t>Chest CT-scan_x000D_
Classification_x000D_
COVID-19_x000D_
Deep learning_x000D_
GradCam</t>
  </si>
  <si>
    <t>In this work, we proposed an Explainable model based on Deep Learning for fast COVID-19 screening in chest CT images. We first collected a database of 360 COVID and Non-COVID images at the Tlemcen hospital in Algeria. This database was merged with two other public datasets (the first one has been collected from several articles published on medRxiv, bioRxiv, NEJM, JAMA, Lancet, etc. The second one was obtained from infected cases in hospitals in Sao Paulo, Brazil). We also conducted a comparative study between Deep Learning classification models that are widely used in the state of the art such as VGG16, VGG19, Inception v3, ResNet50, and DenseNet121. We also proposed an interpretable architecture based on the ResNet50 model and the GradCam explanation algorithm. Experimentations showed promising results and prove that the introduced model can be very useful for the diagnosis and follow-up of patients with COVID-19. © 2021, The Author(s), under exclusive license to Springer Nature Switzerland AG.</t>
  </si>
  <si>
    <t>E. Elfatimi; R. Eryiğit; H. A. Shehu</t>
  </si>
  <si>
    <t>https://www.scopus.com/inward/record.uri?eid=2-s2.0-85176579919&amp;doi=10.1007%2fs00521-023-09187-4&amp;partnerID=40&amp;md5=f63c015dd2d49de60c0d4337ff65fe4a</t>
  </si>
  <si>
    <t>Angular leaf spot_x000D_
Bean rust_x000D_
Beans leaf_x000D_
Classification_x000D_
Disease detection_x000D_
MobileNet_x000D_
Crops_x000D_
Damage detection_x000D_
Deep learning_x000D_
Learning algorithms_x000D_
Learning systems_x000D_
Bean leaf_x000D_
Leaf disease_x000D_
Leaf disease detections_x000D_
Leaf spots_x000D_
Learning techniques_x000D_
Performance_x000D_
Classification (of information)</t>
  </si>
  <si>
    <t>Bean is a widely cultivated crop worldwide; however, it is susceptible to various diseases that can adversely affect the quality of beans, including rust and angular leaf spot diseases. These diseases can cause significant damage by wiping out hectares of crops, emphasizing the need for early detection. Deep learning algorithms have shown remarkable performance in image detection tasks, achieving high accuracy on many datasets. This study used a deep learning technique, specifically the MobileNet architecture, to detect bean leaf disease. We evaluated the effectiveness of the approach by testing the model on three different bean leaf image datasets with varying difficulty. MobileNet was chosen due to its ability to achieve high performance with a reduced number of parameters and faster execution time. Additionally, we examined the impact of the datasets on the model’s performance and presented a comparative analysis of the three datasets, and then we applied the GradCAM technique to the model’s predictions. Experimental results showed that the proposed approach achieved remarkable accuracy, with over 92% accuracy on all three datasets. The study provides a valuable contribution to the field of plant disease detection and highlights the potential of deep learning techniques in detecting bean leaf disease. © 2023, The Author(s), under exclusive licence to Springer-Verlag London Ltd., part of Springer Nature.</t>
  </si>
  <si>
    <t>https://www.scopus.com/inward/record.uri?eid=2-s2.0-85133937831&amp;doi=10.1016%2fj.compag.2022.107199&amp;partnerID=40&amp;md5=fe711615de770aeeaab5ff016ec6b972</t>
  </si>
  <si>
    <t>Characteristic wavelength_x000D_
Deep convolutional neural network_x000D_
Hyperspectral_x000D_
Rice blast_x000D_
Visualization_x000D_
Convolution_x000D_
Convolutional neural networks_x000D_
Data handling_x000D_
Data visualization_x000D_
Decision trees_x000D_
Deep neural networks_x000D_
Disease control_x000D_
Support vector machines_x000D_
Activation mapping_x000D_
Convolutional neural network_x000D_
Mapping method_x000D_
Rice blasts_x000D_
Selection methods_x000D_
Spectral characteristics_x000D_
Wavelength selection_x000D_
artificial neural network_x000D_
classification_x000D_
data processing_x000D_
support vector machine_x000D_
wavelength</t>
  </si>
  <si>
    <t>Characteristic wavelength selection is a research hotspot in hyperspectral data processing and a key to improving the accuracy of identifying the degree of rice blast infection. This study combines deep learning and visualization techniques to create a wavelength selection method for spectral features of rice blast. A deep convolutional neural (DCNN) structure was designed by combining the convolutional block attention module (CBAM) with residual network (ResNet) to learn different classes of disease features. And the guided grade-weighted heatmap (Guided-GradHM) of the last layer of convolution was obtained using the guided gradient-weighted class activation mapping (Guided-GradCAM) method. Then the spectral characteristic wavelengths were selected based on the average Guided-GradHM of different disease levels. Finally, statistical analysis (JM distance, within-class scatter) and comparative modeling analysis were used to verify the method's validity in this study. The results show that the characteristic wavelengths selected by the Guided-GradCAM method based on the ResNet-CBAM network structure have good inter-class separability and intra-class aggregation, with JM distance greater than 1.9 and within-class scatter less than 0.4. Meanwhile, the random forest (RF) and support vector machine (SVM) models constructed from the spectral characteristic wavelengths selected by the Guided-GradCAM method achieved the best disease level classification accuracy, with overall accuracy (OA) and Kappa of 97.21% and 96.55%, 96.51%, and 95.69%, respectively. Overall, this research method can more accurately select the spectral characteristic wavelengths of different disease levels of rice blast and can provide a more effective method for accurate identification and timely control of the disease. © 2022</t>
  </si>
  <si>
    <t>X. Fu; Y. Li; Y. Wu</t>
  </si>
  <si>
    <t>Classifying Buildings Post Hurricane Based on Transfer Learning</t>
  </si>
  <si>
    <t>https://www.scopus.com/inward/record.uri?eid=2-s2.0-85141875478&amp;doi=10.1117%2f12.2640946&amp;partnerID=40&amp;md5=fe2d815d4d6edf5dacf06a1d8fd86347</t>
  </si>
  <si>
    <t>10.1117/12.2640946</t>
  </si>
  <si>
    <t>CNN_x000D_
GradCAM_x000D_
VGG-16_x000D_
Learning systems_x000D_
Satellite imagery_x000D_
Advanced technology_x000D_
Emergency response_x000D_
Machine-learning_x000D_
Model use_x000D_
Model-based OPC_x000D_
Performance_x000D_
Transfer learning_x000D_
Hurricanes</t>
  </si>
  <si>
    <t>For disaster emergency response, higy-definition satellite imagery is quite important. However, what's more important is machine learning and other advanced technologies which can use these images to get much more essential information. In this paper, we use transfer learning to classify buildings post hurricane. First, we propose a new model based on VGG-16, which can be more suitable to the experiment environment and get better performance. Second, we compare the efficiency and time the model use among different models in processing this task. We find that our model based on VGG-16 get the best accuracy which can reach to over 99%. © 2022 SPIE.</t>
  </si>
  <si>
    <t>V. Gewali; S. P. Panday</t>
  </si>
  <si>
    <t>Deep Neural Networks for Wild Fire Detection and Monitoring with UAV</t>
  </si>
  <si>
    <t>1749 CCIS</t>
  </si>
  <si>
    <t>411-423</t>
  </si>
  <si>
    <t>https://www.scopus.com/inward/record.uri?eid=2-s2.0-85151121928&amp;doi=10.1007%2f978-3-031-25088-0_37&amp;partnerID=40&amp;md5=9703db5bca33f9d7fe71b029a3cf5574</t>
  </si>
  <si>
    <t>10.1007/978-3-031-25088-0_37</t>
  </si>
  <si>
    <t>Forest fire monitoring_x000D_
GoogleNet architectures_x000D_
GradCam_x000D_
VGG Architectures_x000D_
Aircraft accidents_x000D_
Aircraft detection_x000D_
Antennas_x000D_
Cost effectiveness_x000D_
Deep neural networks_x000D_
Deforestation_x000D_
Disaster prevention_x000D_
Disasters_x000D_
Fire hazards_x000D_
Fires_x000D_
Network architecture_x000D_
Unmanned aerial vehicles (UAV)_x000D_
Aerial vehicle_x000D_
Fire detection_x000D_
Fire Monitoring_x000D_
Forest fires_x000D_
Googlenet architecture_x000D_
Performance_x000D_
VGG architecture_x000D_
Wild fire_x000D_
Adaptive boosting</t>
  </si>
  <si>
    <t>Unmanned Aerial Vehicles (UAVs) which are equipped with camera sensors are easy means for making observations in remote, inconvenient and inaccessible areas and assist to apprehend the situation for many emergencies and disaster management applications. With the increase in the frequency and the severeness of the forest fire in the recent times, UAVs become the cost-effective means to provide high resolution images in wildfire detection in comparison to other techniques such as satellite and CCTV Cameras. This chapter is focused in the use of two different variations of CNN architectures models of VGG (VGG16, VGG19) and GoogleNet (InceptionV3, Xception) in developing models to correctly classify the forest fire and evaluating their performance. The models are analyzed in different UAV video footages using the Grad-CAM algorithm over the heat-maps to determine how well the model is working in the differentiating the given sample. Using the Adaboost optimizer, all models have shown the accuracy of over 96% and InceptionV3 model is found to have the better performance in comparison to the other VGG models, and also has shown slightly better outcomes against its latter version, Xception. © 2023, The Author(s), under exclusive license to Springer Nature Switzerland AG.</t>
  </si>
  <si>
    <t>Classification_x000D_
EfficientNet-B7_x000D_
Explainable AI_x000D_
GradCAM_x000D_
Integrated Gradient_x000D_
ResNet101_x000D_
Tomato Leaf Disease_x000D_
Vision Transformers</t>
  </si>
  <si>
    <t>Artificial Intelligence has advanced expeditiously over the past years and led to the production of highly complex and leading-edge models deployed to solve problems in a challenging environment. With high dependence on the machine made predictions, it has now become a necessity to be able to look transparently across the black-box and understand the features that influence it’s ability to make decisions. The paper contributes in understanding the rationality and explainability of the models in the classification of diseases in tomato fruit plants. We employed three models, Resnet101, EfficientNetB7, Vision Transformer (vit_base_patch16_224) to classify the disease present in tomato leaf. The opacity of these models are deciphered by implementing two Explainable Artificial Intelligence(XAI) methods, GuidedGradCAM and Integrated Gradients. The explainable algorithms help in unveiling and analyzing the factor that affects the prediction. According to the experimental results, EfficientNet-B7 demonstrates an exceptional level of accuracy, reaching a staggering 99.84% and classifies the disease based on the lesions. The Resnet101 also achieves a significant accuracy of 95.23%, whereas the vision transformer is able to achieve an accuracy of 77.76% only. The paper visualizes and draws a comparison between the two CNN-based models by evaluating their performance based on their validation loss and and accuracy. Interpreting the model’s intelligibility would help in strengthening the practitioner’s trust with the machine-driven decisions and ensure early detection and classification of the disease which would help in taking appropriate measures to prevent substantial crop and economical loss. © 2023 IEEE.</t>
  </si>
  <si>
    <t>2022-August</t>
  </si>
  <si>
    <t>https://www.scopus.com/inward/record.uri?eid=2-s2.0-85143606031&amp;doi=10.1109%2fICPR56361.2022.9956192&amp;partnerID=40&amp;md5=1251bc28928385cbb565d23bdf7bb9f0</t>
  </si>
  <si>
    <t>Deep neural networks_x000D_
Electrocardiograms_x000D_
Intensive care units_x000D_
Physiological models_x000D_
Physiology_x000D_
Seismic waves_x000D_
Convolutional neural network_x000D_
Image data_x000D_
Interpretability_x000D_
Network representation_x000D_
Physiological data_x000D_
Physiological signals_x000D_
Predictive accuracy_x000D_
Qualitative evaluations_x000D_
Text data_x000D_
Times series_x000D_
Lime</t>
  </si>
  <si>
    <t>Though deep neural networks such as convolutional neural networks (CNNs) have achieved high predictive accuracy on many tasks in health domain, the lack of explanation and reasoning behind the predictions can cause adverse consequences in many 'high stakes' applications such as predicting mortality in ICU. Existing popular explanation methods, including GradCam, LIME, SHAP and so on, are designed for image and text data, but not for physiological data in the form of time series like electrocardiograms (ECG). Moreover, these methods can only generate interpretable visualizations for qualitative evaluations while cannot satisfy the need for quantitative evaluations. To fill this gap, we introduce a novel generalized framework for quantitatively explaining CNN representations for physiological signals called ENPhyS. Specifically, inspired by visual concepts (e.g. parts, objects and scenes), we first define physiological concepts which are drawn from existing clinical knowledge (e.g. P wave in ECG). ENPhys further measures the interpretability of CNN by the alignment between a hidden CNN unit and each physiological concept. Finally, we propose novel interpretability metrics - Consistency, Confidence, Completeness and C-Score - to quantify the interpretability of CNNs from different perspectives. We evaluate our metrics on three state-of-the-art CNN models and on three types of physiological signals. Results from user study suggest that our metrics are in line with human intuition of interpretability. © 2022 IEEE.</t>
  </si>
  <si>
    <t>P. Gulati; Q. Hu; S. Farokh Atashzar</t>
  </si>
  <si>
    <t>https://www.scopus.com/inward/record.uri?eid=2-s2.0-85101877467&amp;doi=10.1109%2fLRA.2021.3062320&amp;partnerID=40&amp;md5=bfdde845ef22c0321a994dec002a3563</t>
  </si>
  <si>
    <t>Electromyography_x000D_
machine learning_x000D_
medical robotics_x000D_
prosthetics_x000D_
Agricultural robots_x000D_
Calibration_x000D_
Myoelectrically controlled prosthetics_x000D_
Neurophysiology_x000D_
Robotics_x000D_
Stochastic systems_x000D_
Intended gestures_x000D_
Machine intelligence_x000D_
Myoelectric prosthesis_x000D_
Number of class_x000D_
Recalibrations_x000D_
Recent researches_x000D_
Rejection rates_x000D_
Signal spaces_x000D_
Social robots</t>
  </si>
  <si>
    <t>This letter investigates the feasibility of a generalizable solution for human-robot interfaces through peripheral multichannel Electromyography (EMG) recording. We propose a tangential approach in comparison to the literature to minimize the need for (re)calibration of the system for new users. The proposed algorithm decodes the signal space and detects the common underlying global neurophysiological components, which can be detected robustly across various users, minimizing the need for retraining and (re)calibration. The research question is how to go beyond techniques that detect a high number of gestures for a given individual (which requires extensive calibration) and achieve an algorithm that can detect a lower number of classes but without the need for (re)calibration. The outcomes of this letter address a challenge affecting the usability and acceptance of advanced myoelectric prostheses. For this, the paper proposes an explainable generalizable hybrid deep learning architecture that incorporates CNN and LSTM. We also utilize the GradCAM analysis to explain and optimize the structure of the generalized model, securing higher computational performance whiles proposing a shallower design. © 2016 IEEE.</t>
  </si>
  <si>
    <t>A. Gupta; F. Mendonça; S. S. Mostafa; A. G. Ravelo-García; F. Morgado-Dias</t>
  </si>
  <si>
    <t>https://www.scopus.com/inward/record.uri?eid=2-s2.0-85164811606&amp;doi=10.3390%2felectronics12132954&amp;partnerID=40&amp;md5=7c0a38ad8bc4861614f333726ffbe2f7</t>
  </si>
  <si>
    <t>continuous wavelet transform_x000D_
cyclic alternating patterns_x000D_
deep learning_x000D_
electroencephalogram_x000D_
signal processing</t>
  </si>
  <si>
    <t>Cyclic Alternating Pattern (CAP) is a sleep instability marker defined based on the amplitude and frequency of the electroencephalogram signal. Because of the time and intensive process of labeling the data, different machine learning and automatic approaches are proposed. However, due to the low accuracy of the traditional approach and the black box approach of the machine learning approach, the proposed systems remain untrusted by the physician. This study contributes to accurately estimating CAP in a Frequency-Time domain by A-phase and its subtypes prediction by transforming the monopolar deviated electroencephalogram signals into corresponding scalograms. Subsequently, various computer vision classifiers were tested for the A-phase using scalogram images. It was found that MobileNetV2 outperformed all other tested classifiers by achieving the average accuracy, sensitivity, and specificity values of 0.80, 0.75, and 0.81, respectively. The MobileNetV2 trained model was further fine-tuned for A-phase subtypes prediction. To further verify the visual ability of the trained models, Gradcam++ was employed to identify the targeted regions by the trained network. It was verified that the areas identified by the model match the regions focused on by the sleep experts for A-phase predictions, thereby proving its clinical viability and robustness. This motivates the development of novel deep learning based methods for CAP patterns predictions. © 2023 by the authors.</t>
  </si>
  <si>
    <t>N. Gusarova; I. Tomilov; D. Zmievskii; V. Shilonosov; T. Polevaya; A. Vatian</t>
  </si>
  <si>
    <t>EXPLAINABLE ARTIFICIAL INTELLIGENCE IN THE DIAGNOSIS OF CARDIOVASCULAR DISEASES IN SMALL SAMPLES</t>
  </si>
  <si>
    <t>Proceedings of the International Conferences on ICT, Society, and Human Beings 2023, ICT 2023; and e-Health 2023, EH 2023; Connected Smart Cities 2023, CSC 2023; and Big Data Analytics, Data Mining and Computational Intelligence 2023, BigDaCI 2023</t>
  </si>
  <si>
    <t>IADIS Press</t>
  </si>
  <si>
    <t>https://www.scopus.com/inward/record.uri?eid=2-s2.0-85181767235&amp;partnerID=40&amp;md5=bcde9d8cfcb1438e64cc9c876f188578</t>
  </si>
  <si>
    <t>Cardiovascular Disease_x000D_
Explainable Artificial Intelligence_x000D_
Small Samples_x000D_
XAI_x000D_
Artificial intelligence_x000D_
Cardiology_x000D_
Diseases_x000D_
Large dataset_x000D_
Clinical decision_x000D_
Condition_x000D_
Large datasets_x000D_
Small training_x000D_
Training sample_x000D_
Diagnosis</t>
  </si>
  <si>
    <t>In this work several DNN-based solutions aimed at classifying different of CVDs in conditions of small training samples are proposed. Using GradCAM technology, the main areas of attention of DNNs in these conditions are indentified, and then experimentally being compared with the areas of attention of cardiologists when making a clinical decision. It is shown that even on small samples it is possible to achieve the efficiency of SOTA solutions obtained on large datasets, which should increase the confidence of medical staff, including less qualified ones, in DNN as a means of supporting rapid diagnosis of CVD in acute cases. In turn, combining the results of the physician and AI tools can improve the quality of diagnosis and, therefore, the patient's chances for a speedy and successful cure. © ICT 2023.All rights reserved.</t>
  </si>
  <si>
    <t>Impact of Feedback Type on Explanatory Interactive Learning</t>
  </si>
  <si>
    <t>13515 LNAI</t>
  </si>
  <si>
    <t>https://www.scopus.com/inward/record.uri?eid=2-s2.0-85140486941&amp;doi=10.1007%2f978-3-031-16564-1_13&amp;partnerID=40&amp;md5=6e760e0ac41159a125b08c1e496b8052</t>
  </si>
  <si>
    <t>Deep learning_x000D_
Explanatory interactive learning_x000D_
Interactive machine learning_x000D_
User feedback_x000D_
Image annotation_x000D_
Feedback type_x000D_
Human-in-the-loop_x000D_
Image features_x000D_
Interactive learning_x000D_
Valid image_x000D_
Visual model_x000D_
Learning systems</t>
  </si>
  <si>
    <t>Explanatory Interactive Learning (XIL) collects user feedback on visual model explanations to implement a Human-in-the-Loop (HITL) based interactive learning scenario. Different user feedback types will have different impacts on user experience and the cost associated with collecting feedback since different feedback types involve different levels of image annotation. Although XIL has been used to improve classification performance in multiple domains, the impact of different user feedback types on model performance and explanation accuracy is not well studied. To guide future XIL work we compare the effectiveness of two different user feedback types in image classification tasks: (1) instructing an algorithm to ignore certain spurious image features, and (2) instructing an algorithm to focus on certain valid image features. We use explanations from a Gradient-weighted Class Activation Mapping (GradCAM) based XIL model to support both feedback types. We show that identifying and annotating spurious image features that a model finds salient results in superior classification and explanation accuracy than user feedback that tells a model to focus on valid image features. © 2022, The Author(s), under exclusive license to Springer Nature Switzerland AG.</t>
  </si>
  <si>
    <t>M. Hamilton; S. Lundberg; S. Fu; L. Zhang; W. T. Freeman</t>
  </si>
  <si>
    <t>AXIOMATIC EXPLANATIONS FOR VISUAL SEARCH, RETRIEVAL, AND SIMILARITY LEARNING</t>
  </si>
  <si>
    <t>ICLR 2022 - 10th International Conference on Learning Representations</t>
  </si>
  <si>
    <t>International Conference on Learning Representations, ICLR</t>
  </si>
  <si>
    <t>https://www.scopus.com/inward/record.uri?eid=2-s2.0-85150385513&amp;partnerID=40&amp;md5=50ca343f3d37a0a20aa75f79f2b7efba</t>
  </si>
  <si>
    <t>Game theory_x000D_
Lime_x000D_
Axiomatics_x000D_
Counterfactuals_x000D_
Credit assignment_x000D_
Modeling architecture_x000D_
Power technologies_x000D_
Shapley_x000D_
Similarity learning_x000D_
Visual retrieval_x000D_
Visual search_x000D_
Visual similarity_x000D_
Search engines</t>
  </si>
  <si>
    <t>Visual search, recommendation, and contrastive similarity learning power technologies that impact billions of users worldwide. Modern model architectures can be complex and difficult to interpret, and there are several competing techniques one can use to explain a search engine's behavior. We show that the theory of fair credit assignment provides a unique axiomatic solution that generalizes several existing recommendation- and metric-explainability techniques in the literature. Using this formalism, we show when existing approaches violate “fairness” and derive methods that sidestep these shortcomings and naturally handle counterfactual information. More specifically, we show existing approaches implicitly approximate second-order Shapley-Taylor indices and extend CAM, GradCAM, LIME, SHAP, SBSM, and other methods to search engines. These extensions can extract pairwise correspondences between images from trained opaque-box models. We also introduce a fast kernel-based method for estimating Shapley-Taylor indices that require orders of magnitude fewer function evaluations to converge. Finally, we show that these game-theoretic measures yield more consistent explanations for image similarity architectures. © 2022 ICLR 2022 - 10th International Conference on Learning Representationss. All rights reserved.</t>
  </si>
  <si>
    <t>Proceedings of MVA 2023 - 18th International Conference on Machine Vision and Applications</t>
  </si>
  <si>
    <t>https://www.scopus.com/inward/record.uri?eid=2-s2.0-85170535410&amp;doi=10.23919%2fMVA57639.2023.10215758&amp;partnerID=40&amp;md5=c058badbddd29616ada9805efed47cc2</t>
  </si>
  <si>
    <t>Medical imaging_x000D_
Attack methods_x000D_
Black boxes_x000D_
Focus areas_x000D_
Image interpreters_x000D_
Original images_x000D_
Deep neural networks</t>
  </si>
  <si>
    <t>With the rapid development of deep neural networks (DNNs), eXplainable AI, which provides a basis for prediction on inputs, has become increasingly important. In addition, DNNs have a vulnerability called an Adversarial Example (AE), which can cause incorrect output by applying special perturbations to inputs. Potential vulnerabilities can also exist in image interpreters such as GradCAM, necessitating their investigation, as these vulnerabilities could potentially result in misdiagnosis within medical imaging. Therefore, this study proposes a black-box adversarial attack method that misleads the image interpreter using Sep-CMA-ES. The proposed method deceptively shifts the focus area of the image interpreter to a different location from that of the original image while maintaining the same predictive labels. © 2023 IEICE.</t>
  </si>
  <si>
    <t>https://www.scopus.com/inward/record.uri?eid=2-s2.0-85183189630&amp;doi=10.1016%2fj.compbiomed.2024.108012&amp;partnerID=40&amp;md5=ec871012210360f0b3242695fc76f43c</t>
  </si>
  <si>
    <t>Deep learning_x000D_
Explainable artificial intelligence_x000D_
Medical imaging_x000D_
Software deployment_x000D_
Biological organs_x000D_
Computerized tomography_x000D_
Costs_x000D_
Diagnosis_x000D_
Forecasting_x000D_
Learning systems_x000D_
Activation mapping_x000D_
Data augmentation_x000D_
Diagnostic systems_x000D_
Diagnostics tools_x000D_
Learning models_x000D_
Low-costs_x000D_
Mapping algorithms</t>
  </si>
  <si>
    <t>Around the globe, respiratory lung diseases pose a severe threat to human survival. Based on a central goal to reduce contiguous transmission from infected to healthy persons, several technologies have evolved for diagnosing lung pathologies. One of the emerging technologies is the utility of Artificial Intelligence (AI) based on computer vision for processing wide varieties of medical imaging but AI methods without explainability are often treated as a black box. Based on a view to demystifying the rationale influencing AI decisions, this paper designed and developed a novel low-cost explainable deep-learning diagnostic tool for predicting lung disease from medical images. For this, we investigated explainable deep learning (DL) models (conventional DL and vision transformers (ViTs)) for performing prediction of the existence of pneumonia, COVID19, or no-disease from both original and data augmentation (DA)-based medical images (from two chest X-ray datasets). The results show that our experimental consideration of the DA that combines the impact of cropping, rotation, and horizontal flipping (CROP+ROT+HF) for transforming input images and then passed as input to an Inception-V3 architecture yielded a performance that surpasses all the ViTs and other conventional DL approaches in most of the evaluated performance metrics. Overall, the results suggest that the utility of data augmentation schemes aided the DL methods to yield higher classification accuracies. Furthermore, we compared five different class activation mapping (CAM) algorithms (GradCAM, GradCAM++, EigenGradCAM, AblationCAM, and RandomCAM). The result shows that most of the examined CAM algorithms were effective in identifying the attention region containing the existence of pneumonia or COVID-19 from the medical images (chest X-rays). Our developed low-cost AI diagnostic tool (pilot system) can assist medical experts and radiographers in proffering early diagnosis of lung disease. For this, we selected five to seven deep learning models and the explainable algorithms were deployed on a novel web interface implemented via a Gradio framework. © 2024 Elsevier Ltd</t>
  </si>
  <si>
    <t>ISSTA 2023 - Proceedings of the 32nd ACM SIGSOFT International Symposium on Software Testing and Analysis</t>
  </si>
  <si>
    <t>https://www.scopus.com/inward/record.uri?eid=2-s2.0-85167719503&amp;doi=10.1145%2f3597926.3598145&amp;partnerID=40&amp;md5=b677b181c44ca292a1bc6a9c51d73f7d</t>
  </si>
  <si>
    <t>GNN Interpreters_x000D_
Interpretation_x000D_
Vulnerability Detection_x000D_
Deep learning_x000D_
Graph neural networks_x000D_
Stability_x000D_
Detection methods_x000D_
Detection models_x000D_
Graph neural network interpreter_x000D_
Manual labors_x000D_
Network-based_x000D_
Research interests_x000D_
Structural feature_x000D_
Network security</t>
  </si>
  <si>
    <t>Traditional vulnerability detection methods have limitations due to their need for extensive manual labor. Using automated means for vulnerability detection has attracted research interest, especially deep learning, which has achieved remarkable results. Since graphs can better convey the structural feature of code than text, graph neural network (GNN) based vulnerability detection is significantly better than text-based approaches. Therefore, GNN-based vulnerability detection approaches are becoming popular. However, GNN models are close to black boxes for security analysts, so the models cannot provide clear evidence to explain why a code sample is detected as vulnerable or secure. At this stage, many GNN interpreters have been proposed. However, the explanations provided by these interpretations for vulnerability detection models are highly inconsistent and unconvincing to security experts. To address the above issues, we propose principled guidelines to assess the quality of the interpretation approaches for GNN-based vulnerability detectors based on concerns in vulnerability detection, namely, stability, robustness, and effectiveness. We conduct extensive experiments to evaluate the interpretation performance of six famous interpreters (GNN-LRP, DeepLIFT, GradCAM, GNNExplainer, PGExplainer, and SubGraphX) on four vulnerability detectors (DeepWukong, Devign, IVDetect, and Reveal). The experimental results show that the target interpreters achieve poor performance in terms of effectiveness, stability, and robustness. For effectiveness, we find that the instance-independent methods outperform others due to their deep insight into the detection model. In terms of stability, the perturbation-based interpretation methods are more resilient to slight changes in model parameters as they are model-agnostic. For robustness, the instance-independent approaches provide more consistent interpretation results for similar vulnerabilities. © 2023 ACM.</t>
  </si>
  <si>
    <t>ClassificationMask R-CNN_x000D_
Convolutional Neural Network_x000D_
Deep Learning_x000D_
Grad-CAM_x000D_
Object recognition_x000D_
Pixels_x000D_
Convolutional networks_x000D_
Higher resolution_x000D_
Object identification_x000D_
Object localization_x000D_
Prediction dictionary_x000D_
Visual identification_x000D_
Visual presentation_x000D_
Visual representations_x000D_
Convolutional neural networks</t>
  </si>
  <si>
    <t>This paper presents the conceptually simple, flexible and more suitable framework to demonstrate object localization and object recognition by Mask RCNN along with Grad-CAM (Mask-GradCAM) method that is mainly used to build framework to provide the better visual identification. Because Mask RCNN based method provides a function that take array of pixel values for load the images and aspects of the prediction dictionary such that all class labels, scores, bounding boxes and will plot the image with all these annotations. However, applying this method along with Mask RCNN raises significant challenges such that image pixel issues and quality breaking while producing the heat map. Therefore, this entire system is mentioned as Mask-Grad CAM. This research work considers GradCAM++ and GradCAM methods as basic functionality derivation to implement the Mask-GradCAM. In this combination of MaskRCNN along with Grad-CAM provide the fine-grained display to generate higher resolution visual representation. Hence this method is presented as Mask-GradCAM. © 2021 IEEE.</t>
  </si>
  <si>
    <t>T. Iqbal; A. Khalid; I. Ullah</t>
  </si>
  <si>
    <t>Explaining decisions of a light-weight deep neural network for real-time coronary artery disease classification in magnetic resonance imaging</t>
  </si>
  <si>
    <t>Journal of Real-Time Image Processing</t>
  </si>
  <si>
    <t>Institute for Ionics</t>
  </si>
  <si>
    <t>https://www.scopus.com/inward/record.uri?eid=2-s2.0-85184854096&amp;doi=10.1007%2fs11554-023-01411-7&amp;partnerID=40&amp;md5=ebaefe4adcb6d749dc40d0d0b882e4ef</t>
  </si>
  <si>
    <t>10.1007/s11554-023-01411-7</t>
  </si>
  <si>
    <t>Classification_x000D_
Explainable AI_x000D_
Healthcare models_x000D_
Hyper-parameter tuning_x000D_
Time complexity_x000D_
Backpropagation_x000D_
Complex networks_x000D_
Convolutional neural networks_x000D_
Deep neural networks_x000D_
Diseases_x000D_
Magnetic resonance imaging_x000D_
Convolutional neural network_x000D_
Decisions makings_x000D_
Explainable artificial intelligence_x000D_
Health care modeling_x000D_
Hyper-parameter_x000D_
Intelligence models_x000D_
Parameters tuning_x000D_
Real- time_x000D_
Decision making</t>
  </si>
  <si>
    <t>In certain healthcare settings, such as emergency or critical care units, where quick and accurate real-time analysis and decision-making are required, the healthcare system can leverage the power of artificial intelligence (AI) models to support decision-making and prevent complications. This paper investigates the optimization of healthcare AI models based on time complexity, hyper-parameter tuning, and XAI for a classification task. The paper highlights the significance of a lightweight convolutional neural network (CNN) for analysing and classifying Magnetic Resonance Imaging (MRI) in real-time and is compared with CNN-RandomForest (CNN-RF). The role of hyper-parameter is also examined in finding optimal configurations that enhance the model’s performance while efficiently utilizing the limited computational resources. Finally, the benefits of incorporating the XAI technique (e.g. GradCAM and Layer-wise Relevance Propagation) in providing transparency and interpretable explanations of AI model predictions, fostering trust, and error/bias detection are explored. Our inference time on a MacBook laptop for 323 test images of size 100x100 is only 2.6 sec, which is merely 8 milliseconds per image while providing comparable classification accuracy with the ensemble model of CNN-RF classifiers. Using the proposed model, clinicians/cardiologists can achieve accurate and reliable results while ensuring patients’ safety and answering questions imposed by the General Data Protection Regulation (GDPR). The proposed investigative study will advance the understanding and acceptance of AI systems in connected healthcare settings. © The Author(s) 2024.</t>
  </si>
  <si>
    <t>https://www.scopus.com/inward/record.uri?eid=2-s2.0-85119406376&amp;doi=10.1109%2fACCESS.2021.3127394&amp;partnerID=40&amp;md5=36dbacacb4a74e5971929e7085f3bb46</t>
  </si>
  <si>
    <t>Augmentation_x000D_
dementia_x000D_
generative adversarial networks_x000D_
magnetic resonance imaging_x000D_
mild cognitive impairment_x000D_
Medical imaging_x000D_
Network architecture_x000D_
Neural networks_x000D_
Neurodegenerative diseases_x000D_
Biomedical imaging_x000D_
CNN models_x000D_
Cognitive impairment_x000D_
Convolutional neural network_x000D_
Features extraction_x000D_
MRI scan_x000D_
Predictive models_x000D_
Senior citizens</t>
  </si>
  <si>
    <t>Dementia is a symptom of Alzheimer's Disease (A.D.) that affects many people around the globe each year. There is no effective cure to treat this disease, and it can prove to be deadly to the patient if left untreated or undetected. In this paper, the authors propose a novel DCGAN-based Augmentation and Classification (D-BAC) model approach to identify and classify dementia into various categories depending upon its prominence and severity in the available MRI scans. The proposed detection of early onset of dementia, also referred to as Mild Cognitive Impairment (MCI), is also studied with the help of a novel GAN-augmented dataset. The proposed model can predict MCI with an accuracy of 74% and can classify dementia into four categories depending upon its prominence in the MRI scan. The authors have also utilized Visual Explainable A.I. (XAI) and have used GradCAM to visually represent the internal working of the model. This novel approach helps verify the differentiating features of the MRI scans learned by the CNN model during training. Three different datasets, namely the original dataset, geometrically transformed images, and a GAN-augmented dataset, have been used for performance analysis. A comparison of the performance of the CNN model has been made on these datasets, and the superiority of results using the novel GAN-augmented dataset has been studied and discussed. Moreover, progressive resizing has also been applied on this GAN-dataset, and different CNN architectures have also been used to achieve better performance scores. The model proposed in the end has a training accuracy of 97% and a testing accuracy of 82% when tested using a conventional CNN architecture and has a testing accuracy of 84% and 87% when tested using VGG-16 and VGG-19 architecture, respectively. © 2013 IEEE.</t>
  </si>
  <si>
    <t>64-75</t>
  </si>
  <si>
    <t>Y. Jaramillo-Munera; L. M. Sepulveda-Cano; A. E. Castro-Ospina; L. Duque-Muñoz; J. D. Martinez-Vargas</t>
  </si>
  <si>
    <t>Classification of Epileptic Seizures Based on CNN and Guided Back-Propagation for Interpretation Analysis</t>
  </si>
  <si>
    <t>1705 CCIS</t>
  </si>
  <si>
    <t>212-226</t>
  </si>
  <si>
    <t>https://www.scopus.com/inward/record.uri?eid=2-s2.0-85161254840&amp;doi=10.1007%2f978-3-031-32213-6_16&amp;partnerID=40&amp;md5=fe1db9fe854f2b9ce83d661364c12112</t>
  </si>
  <si>
    <t>10.1007/978-3-031-32213-6_16</t>
  </si>
  <si>
    <t>Classification_x000D_
CNN_x000D_
EEG_x000D_
Epileptic Seizure_x000D_
Guided Backpropagation_x000D_
Backpropagation_x000D_
Computer aided diagnosis_x000D_
Convolutional neural networks_x000D_
Deep learning_x000D_
Neurodegenerative diseases_x000D_
Neuroimaging_x000D_
Neurophysiology_x000D_
Back Propagation_x000D_
Brain disorders_x000D_
Classification results_x000D_
Convolutional neural network_x000D_
Electroencefiphalogram_x000D_
Epileptic seizures_x000D_
Medical teams_x000D_
Neuroimaging techniques_x000D_
Preventive action_x000D_
Classification (of information)</t>
  </si>
  <si>
    <t>Epilepsy is a brain disorder that affects nearly 50 millions people around the world. However, despite its high prevalence, the diagnosis of epilepsy is complex and usually guided by the medical team’s expertise using several neuroimaging techniques such as the Electroencefiphalogram (EEG). In this sense, several studies aim to automatically detect epilepsy events to improve the diagnosis or predict epilepsy crises from EEG recordings to overtake a preventive action. Most recent studies using deep learning approaches to detect Epilepsy Seizures (ES) achieve outstanding classification results but lack interpretability. This work proposes a methodology for classifying ES from EEG signals using intra-subject models in 10 patients from Siena Scalp EEG Database using Time Frequency Representations. In this approach a standard Convolutional Neural Network (CNN) structure is used and several parameters of CNN are optimized using bayesian optimization. Additionally, we used a combination of GradCam and Guided Backpropagation as a strategy to interpret the performance of trained models. The classification results suggest that the intra-subject approach is effective when few data are available. Most of the analyzed subjects got an accuracy that outperform the standard architecture by using optuna tuning. Additionally, the computation of gradients using GradCam-BP show an increased mean gradient for some patients finding the relevant channel in the ES condition. © 2023, The Author(s), under exclusive license to Springer Nature Switzerland AG.</t>
  </si>
  <si>
    <t>Multimedia Tools and Applications</t>
  </si>
  <si>
    <t>https://www.scopus.com/inward/record.uri?eid=2-s2.0-85173772695&amp;doi=10.1007%2fs11042-023-17153-4&amp;partnerID=40&amp;md5=787722773982102ed3722eaedf0e2191</t>
  </si>
  <si>
    <t>Attention visualization_x000D_
Golf swing analysis_x000D_
Guided Grad-CAMs_x000D_
Activation analysis_x000D_
Cams_x000D_
Classification (of information)_x000D_
Forecasting_x000D_
Golf_x000D_
Inspection_x000D_
Convolutional neural network_x000D_
Golf swing_x000D_
Gradient based_x000D_
Guided grad-CAM_x000D_
Interpretability_x000D_
Network-based_x000D_
Region-of-interest_x000D_
Regions of interest_x000D_
Visualization</t>
  </si>
  <si>
    <t>Convolutional neural network (CNN)-based methods facilitate data classification but sacrifice physical interpretability due to the complex model architecture and tight inferring integration. The interpretability requirement of our prior CNN-based golf classifier motivates us to explain the performance of the predictions and to discover the class-discriminative, significant regions of interest within the golf swings as well. This can be done by casting the 2D Guided Grad-CAMs to a 1D generalization, which is presented in our current research. We then perform the visualization by inspecting the golf predictions and the involved golf dataset using such a custom 1D Guided Grad-CAM, highlight class-discriminative, significant regions of interest, and finally attempt to present potential interpretations. Specifically, we investigate the attention performance and the corresponding potential attributions by visualizing and by evaluating the predictions given by the classifier and the golf swings from five perspectives, including attention consistency within particular classes, the inspections of misclassified swings, Guided Grad-CAM visualizations at different layers, and the attention shift with respect to temporal resolutions and with respect to sensor usages. We conclude that our visual inspections explain our previous classification performance, that the class-discriminative, significant features can be captured, and that every single prediction has its reasonable interpretation, in terms of the comprehensive experiments. Such exploration can provide a potential possibility of associating the critical regions and features with the physical movements of golf players, which can possibly contribute to golf training. Relevant code files are available at https://github.com/92xianshen/golf-guided-gradcam . © 2023, The Author(s), under exclusive licence to Springer Science+Business Media, LLC, part of Springer Nature.</t>
  </si>
  <si>
    <t>C. A. Jimenez-Castaño; A. M. Álvarez-Meza; O. D. Aguirre-Ospina; D. A. Cárdenas-Peña; Á. A. Orozco-Gutiérrez</t>
  </si>
  <si>
    <t>Random fourier features-based deep learning improvement with class activation interpretability for nerve structure segmentation</t>
  </si>
  <si>
    <t>https://www.scopus.com/inward/record.uri?eid=2-s2.0-85119357541&amp;doi=10.3390%2fs21227741&amp;partnerID=40&amp;md5=71a19a091220b42d89a620d8fbd9aac1</t>
  </si>
  <si>
    <t>Class activation mapping_x000D_
Deep learning_x000D_
Nerve structure segmentation_x000D_
Random Fourier features_x000D_
Ultrasound images_x000D_
Chemical activation_x000D_
Complex networks_x000D_
Fourier transforms_x000D_
Image enhancement_x000D_
Mapping_x000D_
Network architecture_x000D_
Semantics_x000D_
Ultrasonics_x000D_
Activation mapping_x000D_
Fourier features_x000D_
Interpretability_x000D_
Peripheral nerves_x000D_
Random fourier feature_x000D_
Structure segmentation_x000D_
Semantic Segmentation</t>
  </si>
  <si>
    <t>Peripheral nerve blocking (PNB) is a standard procedure to support regional anesthesia. Still, correct localization of the nerve’s structure is needed to avoid adverse effects; thereby, ultrasound images are used as an aid approach. In addition, image-based automatic nerve segmentation from deep learning methods has been proposed to mitigate attenuation and speckle noise ultrasonography issues. Notwithstanding, complex architectures highlight the region of interest lacking suitable data interpretability concerning the learned features from raw instances. Here, a kernel-based deep learning enhancement is introduced for nerve structure segmentation. In a nutshell, a random Fourier features-based approach was utilized to complement three well-known semantic segmentation architectures, e.g., fully convolutional network, U-net, and ResUnet. Moreover, two ultrasound image datasets for PNB were tested. Obtained results show that our kernel-based approach provides a better generalization capability from image segmentation-based assessments on different nerve structures. Further, for data interpretability, a semantic segmentation extension of the GradCam++ for class-activation mapping was used to reveal relevant learned features separating between nerve and background. Thus, our proposal favors both straightforward (shallow) and complex architectures (deeper neural networks). © 2021 by the authors. Licensee MDPI, Basel, Switzerland.</t>
  </si>
  <si>
    <t>Convolutional Neural Network (CNN)_x000D_
Deep Learning_x000D_
GradCAM_x000D_
Pneumonia_x000D_
X-ray images_x000D_
Cams_x000D_
Convolution_x000D_
Convolutional neural networks_x000D_
Learning systems_x000D_
Medical imaging_x000D_
Convolutional neural network_x000D_
Learning approach_x000D_
Learning-based methods_x000D_
Medical industries_x000D_
Model prediction_x000D_
X-ray image_x000D_
Diagnosis</t>
  </si>
  <si>
    <t>Millions of people throughout the world suffer from pneumonia, an extremely serious respiratory disease. An early and accurate diagnosis is crucial for the quick and effective treatment of pneumonia. Deep learning approaches have recently demonstrated promise in the recognition of medical imaging, particularly X-ray pictures. We propose deep learning-based method for recognising pneumonia from X-ray pictures in this paper. To categorise photos, we employ a convolutional neural network (CNN), and the Grad-CAM method visualises the model's predictions. The results of our investigation indicate that our proposed approach may successfully and reliably detect pneumonia in X-ray images and provide visual reasons for the predictions. By increasing the effectiveness and precision of pneumonia diagnosis, the application of this methodology has the potential to have a substantial impact on the medical industry. © 2023 IEEE.</t>
  </si>
  <si>
    <t>S. Kerenalli; V. Yendapalli; M. Chinnaiah</t>
  </si>
  <si>
    <t>Classification of Deepfake Images Using a Novel Explanatory Hybrid Model</t>
  </si>
  <si>
    <t>CommIT Journal</t>
  </si>
  <si>
    <t>151-168</t>
  </si>
  <si>
    <t>Bina Nusantara University</t>
  </si>
  <si>
    <t>https://www.scopus.com/inward/record.uri?eid=2-s2.0-85174540468&amp;doi=10.21512%2fcommit.v17i2.8761&amp;partnerID=40&amp;md5=78d2f7613f5ac2560e2d24393a0aebd3</t>
  </si>
  <si>
    <t>10.21512/commit.v17i2.8761</t>
  </si>
  <si>
    <t>Deepfake Images_x000D_
Explanatory Artificial Intelligence_x000D_
Hybrid Model_x000D_
Image Classification</t>
  </si>
  <si>
    <t>In court, criminal investigations and identity management tools, like check-in and payment logins, face videos, and photos, are used as evidence more frequently. Although deeply falsified information may be found using deep learning classifiers, block-box decisionmaking makes forensic investigation in criminal trials more challenging. Therefore, the research suggests a three-step classification technique to classify the deceptive deepfake image content. The research examines the visual assessments of an EfficientNet and Shifted Window Transformer (SWinT) hybrid model based on Convolutional Neural Network (CNN) and Transformer architectures. The classifier generality is improved in the first stage using a different augmentation. Then, the hybrid model is developed in the second step by combining the EfficientNet and Shifted Window Transformer architectures. Next, the GradCAM approach for assessing human understanding demonstrates deepfake visual interpretation. In 14,204 images for the validation set, there are 7,096 fake photos and 7,108 real images. In contrast to focusing only on a few discrete face parts, the research shows that the entire deepfake image should be investigated. On a custom dataset of real, Generative Adversarial Networks (GAN)-generated, and human-altered web photos, the proposed method achieves an accuracy of 98.45%, a recall of 99.12%, and a loss of 0.11125. The proposed method successfully distinguishes between real and manipulated images. Moreover, the presented approach can assist investigators in clarifying the composition of the artificially produced material. © 2023 CommIT Journal . All rights reserved.</t>
  </si>
  <si>
    <t>Multimodal Learning for Improving Performance and Explainability of Chest X-Ray Classification</t>
  </si>
  <si>
    <t>https://www.scopus.com/inward/record.uri?eid=2-s2.0-85180622657&amp;doi=10.1007%2f978-3-031-47401-9_11&amp;partnerID=40&amp;md5=91fb5c2357f19b8f1648f4f234808cfe</t>
  </si>
  <si>
    <t>Chest X-ray_x000D_
Deep Learning_x000D_
Explainability_x000D_
Eye Tracking_x000D_
Radiology Report_x000D_
Classification (of information)_x000D_
Computer aided diagnosis_x000D_
Convolutional neural networks_x000D_
Image enhancement_x000D_
Medical imaging_x000D_
Radiology_x000D_
Black boxes_x000D_
Convolutional neural network_x000D_
Eye-gaze_x000D_
Eye-tracking_x000D_
Heatmaps_x000D_
Performance_x000D_
Radiology reports</t>
  </si>
  <si>
    <t>Convolutional Neural Networks (CNNs) applied to medical imaging for disease diagnosis have not yet been widely adopted by radiologists due to the black-box nature of these models, undermining their explainability. A few of the approaches for “opening” the black box include the use of heatmaps to assist with visual interpretation, but these heatmaps remain crude. While it has been shown that utilizing radiologists’ attention-related data improves the quality of models’ attention maps, its quantitative effect on explainability remains unexplored. Moreover, the impact of combining radiology reports as a separate data modality with medical images on model explainability and performance has not been fully explored. In this work, we use an Eye-Gaze dataset along with radiology reports to exhaustively study the impact of adding radiology reports and Eye-Gaze data to X-ray images on the performance and explainability of CNN-based classification models. Additionally, we introduce an explainability metric to quantitatively evaluate the alignment of model attention with radiologist-specified regions of interest (ROIs). We demonstrate that combining the radiology reports with chest X-ray images improves the CNN’s performance significantly (12.85%) in detecting Pneumonia and Congestive Heart Failure. In addition, using Eye-Gaze data as a secondary ground truth alongside the class labels enables the generation of attention maps, as means for model explainability, that have a better attention overlap with the corresponding ROIs compared to the popular model-agnostic GradCAM method. Additionally, the explainability of attention heatmaps generated by Eye-Gaze data as a secondary ground truth improves by approximately 11% when more context via other data modalities, such as radiology reports, is added to the X-ray images. In contrast, the addition of radiology reports has negligible effect on the heatmaps created by GradCAM. © The Author(s), under exclusive license to Springer Nature Switzerland AG 2023.</t>
  </si>
  <si>
    <t>A. Khan; S. Han; N. Ilyas; Y. M. Lee; B. Lee</t>
  </si>
  <si>
    <t>https://www.scopus.com/inward/record.uri?eid=2-s2.0-85164675420&amp;doi=10.1016%2fj.cmpb.2023.107718&amp;partnerID=40&amp;md5=8850f8ce462965c73c18517b48e8092d</t>
  </si>
  <si>
    <t>Cervical cancer_x000D_
Image classification_x000D_
Medical data augmentation_x000D_
Swin transformer_x000D_
WSI Analysis_x000D_
Cervix Uteri_x000D_
Diagnosis, Computer-Assisted_x000D_
Early Detection of Cancer_x000D_
Female_x000D_
Humans_x000D_
Papanicolaou Test_x000D_
Uterine Cervical Neoplasms_x000D_
Cells_x000D_
Classification (of information)_x000D_
Computer aided diagnosis_x000D_
Cytology_x000D_
Diseases_x000D_
Generative adversarial networks_x000D_
Image analysis_x000D_
Learning systems_x000D_
Medical imaging_x000D_
Cervical cancers_x000D_
Data augmentation_x000D_
Image-analysis_x000D_
Images classification_x000D_
Medical data_x000D_
Multi-scales_x000D_
Whole slide images_x000D_
Whole-slide image analyse_x000D_
adult_x000D_
Article_x000D_
atypical squamous cells of the cervix_x000D_
biomedicine_x000D_
cell nucleus_x000D_
cervixformer_x000D_
computer vision_x000D_
controlled study_x000D_
convolutional neural network_x000D_
cytopathology_x000D_
depth of field_x000D_
digital pathology_x000D_
disease classification_x000D_
human_x000D_
machine learning_x000D_
major clinical study_x000D_
multilayer perceptron_x000D_
reproducibility_x000D_
self concept_x000D_
uterine cervix cancer_x000D_
computer assisted diagnosis_x000D_
diagnostic imaging_x000D_
early cancer diagnosis_x000D_
pathology_x000D_
procedures_x000D_
uterine cervix_x000D_
uterine cervix tumor</t>
  </si>
  <si>
    <t>Background and Objectives: Cervical cancer affects around 0.5 million women per year, resulting in over 0.3 million fatalities. Therefore, repetitive screening for cervical cancer is of utmost importance. Computer-assisted diagnosis is key for scaling up cervical cancer screening. Current recognition algorithms, however, perform poorly on the whole-slide image (WSI) analysis, fail to generalize for different staining methods and on uneven distribution for subtype imaging, and provide sub-optimal clinical-level interpretations. Herein, we developed CervixFormer—an end-to-end, multi-scale swin transformer-based adversarial ensemble learning framework to assess pre-cancerous and cancer-specific cervical malignant lesions on WSIs. Methods: The proposed framework consists of (1) a self-attention generative adversarial network (SAGAN) for generating synthetic images during patch-level training to address the class imbalanced problems; (2) a multi-scale transformer-based ensemble learning method for cell identification at various stages, including atypical squamous cells (ASC) and atypical squamous cells of undetermined significance (ASCUS), which have not been demonstrated in previous studies; and (3) a fusion model for concatenating ensemble-based results and producing final outcomes. Results: In the evaluation, the proposed method is first evaluated on a private dataset of 717 annotated samples from six classes, obtaining a high recall and precision of 0.940 and 0.934, respectively, in roughly 1.2 minutes. To further examine the generalizability of CervixFormer, we evaluated it on four independent, publicly available datasets, namely, the CRIC cervix, Mendeley LBC, SIPaKMeD Pap Smear, and Cervix93 Extended Depth of Field image datasets. CervixFormer obtained a fairly better performance on two-, three-, four-, and six-class classification of smear- and cell-level datasets. For clinical interpretation, we used GradCAM to visualize a coarse localization map, highlighting important regions in the WSI. Notably, CervixFormer extracts feature mostly from the cell nucleus and partially from the cytoplasm. Conclusions: In comparison with the existing state-of-the-art benchmark methods, the CervixFormer outperforms them in terms of recall, accuracy, and computing time. © 2023</t>
  </si>
  <si>
    <t>2022 10th International Conference on Affective Computing and Intelligent Interaction Workshops and Demos, ACIIW 2022</t>
  </si>
  <si>
    <t>https://www.scopus.com/inward/record.uri?eid=2-s2.0-85153375304&amp;doi=10.1109%2fACIIW57231.2022.10086035&amp;partnerID=40&amp;md5=8d96e2fd608315f8086033a9c9e68e1c</t>
  </si>
  <si>
    <t>buddhas_x000D_
computational art_x000D_
deep learning_x000D_
facial expressions_x000D_
multi-label classification_x000D_
sculptures_x000D_
Classification (of information)_x000D_
Computer vision_x000D_
Emotion Recognition_x000D_
Face recognition_x000D_
Technology transfer_x000D_
Buddha_x000D_
Computational approach_x000D_
Large datasets_x000D_
Multi-label classifications_x000D_
Recognition of facial expressions_x000D_
Sculpture_x000D_
Subjective experiences_x000D_
Large dataset</t>
  </si>
  <si>
    <t>The art of understating emotions across different cultures is a subjective experience; however, what cross-cuts the cultural expression is our human neuro-physiological ability to communicate our feelings via facial expressions. Combined with AI know-how, such capacity provides us with unique opportunities to trace the artists' intentions to communicate particular emotions to the viewer, from those in the deep past c. 25,000 years ago to the contemporary sculpture. Here, we present a computational approach to analyzing facial expressions depicted in artwork of numerous regions, specifically sculptures. We collected a large dataset of sculptures' faces from online collections of various museums and used the existing methods to assign labels to each image. Each instance may have more than one label predicted by different methods, so we treated facial expression recognition as a multi-label classification problem. We designed deep learning-based frameworks using different backbones to categorize facial expressions in sculptures. We also implemented GradCAM to visualize the attributes in each image contributing the most to the predicted labels. © 2022 IEEE.</t>
  </si>
  <si>
    <t>IEEE International Conference on Communications</t>
  </si>
  <si>
    <t>2022-May</t>
  </si>
  <si>
    <t>https://www.scopus.com/inward/record.uri?eid=2-s2.0-85137260437&amp;doi=10.1109%2fICC45855.2022.9838254&amp;partnerID=40&amp;md5=b64819067e3ae99c69f63bf81afa1997</t>
  </si>
  <si>
    <t>CNN_x000D_
COVID_x000D_
DensetNet_x000D_
LSTM_x000D_
ResNet_x000D_
Diagnosis_x000D_
Forecasting_x000D_
Learning systems_x000D_
Medical imaging_x000D_
Chest X-ray image_x000D_
Convolution neural network_x000D_
High-accuracy_x000D_
Learning models_x000D_
Medical doctors_x000D_
Prediction-based_x000D_
Long short-term memory</t>
  </si>
  <si>
    <t>COVID which is one of the deadliest Pandemic of this era stuck the entire world which emerged from Wuhan, China in 2019. The pandemic had an extensive impact on unemployment and even deaths. This Pandemic was so new that a lot of medical doctors were involved in research towards diagnosing the chest X-ray images for COVID symptoms. Along with COVID, there have been other complications found like Pneumonia which resulted in the second wave of COVID leading to deaths. There has been good research done by Deep learning researchers in predicting the COVID and also COVID with Pneumonia classification based on Chest X-rays. But the challenge in earlier work is the limited data set which ultimately resulted in higher accuracy. The reason being smaller data set had very fewer number features for training which ultimately resulted in higher accuracy during prediction. So, towards obviating the above-mentioned challenge, we here have collected a fairly larger data set for better prediction. In addition, authors have proposed Convolution Neural Network - Long Short-Term Memory (CNN-LSTM) model by allowing ResNEt-101 as pretrained model for CNN along with other pretrained deep learning models like ResNEt-101, Inception V3, DenseNET-169, and Inception-ResNET V2. In addition to the prediction of chest X-ray images into different classes as COVID, COVID with Pneumonia, Viral Pneumonia, and Healthy, GradCAM has been used for giving a visual explanation for deep learning model resulting in higher accuracy which are ResNET-101, DenseNET-169 and CNN-LSTM. The GradCAM shows the Model built can predict the image perfectly. These would be stored in Cloud for access by doctors for medication. © 2022 IEEE.</t>
  </si>
  <si>
    <t>P. K. Khoba; C. Parikh; C. V. Jawahar; R. K. Sarvadevabhatla; R. Saluja</t>
  </si>
  <si>
    <t>A Fine-Grained Vehicle Detection (FGVD) Dataset for Unconstrained Roadsg±</t>
  </si>
  <si>
    <t>https://www.scopus.com/inward/record.uri?eid=2-s2.0-85160440828&amp;doi=10.1145%2f3571600.3571626&amp;partnerID=40&amp;md5=c18bf3fb0c847b77baa32c30fc7424e3</t>
  </si>
  <si>
    <t>10.1145/3571600.3571626</t>
  </si>
  <si>
    <t>dataset_x000D_
detection_x000D_
Fine-grained_x000D_
gradcam._x000D_
unconstrained roads_x000D_
Classification (of information)_x000D_
Object detection_x000D_
Vehicles_x000D_
Fine grained_x000D_
Moving cameras_x000D_
Object detectors_x000D_
Scene image_x000D_
Unconstrained road_x000D_
Vehicle types_x000D_
Vehicles detection_x000D_
Cameras</t>
  </si>
  <si>
    <t>The previous fine-grained datasets mainly focus on classification and are often captured in a controlled setup, with the camera focusing on the objects. We introduce the first Fine-Grained Vehicle Detection (FGVD) dataset in the wild, captured from a moving camera mounted on a car. It contains 5502 scene images with 210 unique fine-grained labels of multiple vehicle types organized in a three-level hierarchy. While previous classification datasets also include makes for different kinds of cars, the FGVD dataset introduces new class labels for categorizing two-wheelers, autorickshaws, and trucks. The FGVD dataset is challenging as it has vehicles in complex traffic scenarios with intra-class and inter-class variations in types, scale, pose, occlusion, and lighting conditions. The current object detectors like yolov5 and faster RCNN perform poorly on our dataset due to a lack of hierarchical modeling. Along with providing baseline results for existing object detectors on FGVD Dataset, we also present the results of a combination of an existing detector and the recent Hierarchical Residual Network (HRN) classifier for the FGVD task. Finally, we show that FGVD vehicle images are the most challenging to classify among the fine-grained datasets. [GitHub] © 2022 ACM.</t>
  </si>
  <si>
    <t>13672 LNCS</t>
  </si>
  <si>
    <t>https://www.scopus.com/inward/record.uri?eid=2-s2.0-85142726876&amp;doi=10.1007%2f978-3-031-19775-8_17&amp;partnerID=40&amp;md5=02fc8b0e94ea2687bfd33f4f778869bc</t>
  </si>
  <si>
    <t>Evaluation framework_x000D_
Explainable AI (XAI)_x000D_
Human studies_x000D_
Human-centered AI_x000D_
Interpretability_x000D_
Artificial intelligence_x000D_
HTTP_x000D_
AI Technologies_x000D_
High impact_x000D_
High-risk domains_x000D_
Human evaluation_x000D_
Human study_x000D_
Systematic evaluation_x000D_
Decision making</t>
  </si>
  <si>
    <t>As AI technology is increasingly applied to high-impact, high-risk domains, there have been a number of new methods aimed at making AI models more human interpretable. Despite the recent growth of interpretability work, there is a lack of systematic evaluation of proposed techniques. In this work, we introduce HIVE (Human Interpretability of Visual Explanations), a novel human evaluation framework that assesses the utility of explanations to human users in AI-assisted decision making scenarios, and enables falsifiable hypothesis testing, cross-method comparison, and human-centered evaluation of visual interpretability methods. To the best of our knowledge, this is the first work of its kind. Using HIVE, we conduct IRB-approved human studies with nearly 1000 participants and evaluate four methods that represent the diversity of computer vision interpretability works: GradCAM, BagNet, ProtoPNet, and ProtoTree. Our results suggest that explanations engender human trust, even for incorrect predictions, yet are not distinct enough for users to distinguish between correct and incorrect predictions. We open-source HIVE to enable future studies and encourage more human-centered approaches to interpretability research. HIVE can be found at https://princetonvisualai.github.io/HIVE. © 2022, The Author(s), under exclusive license to Springer Nature Switzerland AG.</t>
  </si>
  <si>
    <t>S. Kinger; V. Kulkarni</t>
  </si>
  <si>
    <t>Explainable AI for deep learning based disease detection</t>
  </si>
  <si>
    <t>209-216</t>
  </si>
  <si>
    <t>https://www.scopus.com/inward/record.uri?eid=2-s2.0-85119099581&amp;doi=10.1145%2f3474124.3474154&amp;partnerID=40&amp;md5=4d1bd27c7a1662e5960ba5cece5d81b8</t>
  </si>
  <si>
    <t>10.1145/3474124.3474154</t>
  </si>
  <si>
    <t>Deep Learning_x000D_
EXplainable AI_x000D_
Grad-CAM++_x000D_
Plant Disease_x000D_
Plants (botany)_x000D_
Black boxes_x000D_
Detection system_x000D_
Disease detection_x000D_
Human users_x000D_
Nested structures_x000D_
Performance</t>
  </si>
  <si>
    <t>Deep learning in computer vision has shown remarkable success in the performance of detection systems for plant diseases. However, due to the complexity and deeply nested structure of these models, these are still considered as black-box and explanations are not intuitive for human users. Many researchers have developed deep neural architectures for plant disease detection but have not provided classification explanations. To be used in practical applications, our model needs to explain why the model classified a given image. Explainable Artificial Intelligence (XAI) provides algorithms that can generate human-understandable explanations of AI decisions. In this paper, we summarize recent developments in XAI techniques, develop a plant disease detection system, and most importantly an explainable AI method named Gradient-weighted Class Activation Mapping ++ (GradCAM++) is used to locate the disease and highlight the most important regions on the leaves contributing towards the classification. © 2021 ACM.</t>
  </si>
  <si>
    <t>LifeTech 2022 - 2022 IEEE 4th Global Conference on Life Sciences and Technologies</t>
  </si>
  <si>
    <t>https://www.scopus.com/inward/record.uri?eid=2-s2.0-85129164231&amp;doi=10.1109%2fLifeTech53646.2022.9754829&amp;partnerID=40&amp;md5=a82361d6b7e2d2bc49677d46aa619a1f</t>
  </si>
  <si>
    <t>calcifications_x000D_
deep learning_x000D_
explainability_x000D_
mammography_x000D_
Bone_x000D_
Calcification (biochemistry)_x000D_
Breast calcifications_x000D_
Breast density_x000D_
Breast lesion_x000D_
Digital database for screening mammographies_x000D_
Feasibility studies_x000D_
Mammography images_x000D_
Sliding Window_x000D_
Window patches_x000D_
Biomineralization</t>
  </si>
  <si>
    <t>Calcifications on mammography are important to detect malignant breast lesions. Here a deep learning-based classifier is used to differentiate the presence and absence of breast calcifications on mammography images. A total of 1471 calcification lesions included in the Digital Database for Screening Mammography were used for the dataset. High-density breasts (breast density of ≥4) were excluded from the dataset. The calcification lesion dataset was created from randomly cropped patch images from each lesion that overlapped calcification lesion masks. The non-calcification dataset was created using sliding window patch images and excluded any calcification lesion mask overlap. Subsequently, the same number of patch images was created. MLO and CC binary classifiers were created using the EfficientNet(B0). The evaluation was performed via a hold-out method. Each dataset was divided based on each patient. The accuracy and AUC were calculated to evaluate model classification accuracy. The GradCAM was used to evaluate the explainability. Our EfficientNetB0-based classifiers yielded an Acc of 0.76 (left, MLO), 0.79 (right, MLO), 0.75 (left, CC), and 0.77 (right, CC) and an AUC of 0.85 (left, MLO), 0.88 (right, MLO), 0.83 (left, CC), and 0.86 (right, CC). The AUC of all models was &gt;0.8, and the visualization map by the GradCAM determined the calcifications globally. These results show the possibility of an explainability in the classification problem to differentiate the presence and absence of breast calcifications. © 2022 IEEE.</t>
  </si>
  <si>
    <t>2023 4th International Conference for Emerging Technology, INCET 2023</t>
  </si>
  <si>
    <t>https://www.scopus.com/inward/record.uri?eid=2-s2.0-85166380988&amp;doi=10.1109%2fINCET57972.2023.10170302&amp;partnerID=40&amp;md5=8b999e05f295e40e8592a113bcd10870</t>
  </si>
  <si>
    <t>Chest X-Rays_x000D_
Contrast and Erosion_x000D_
COVID-19_x000D_
CT Scans_x000D_
Discrete Wavelet Transform_x000D_
GradCAM_x000D_
Lung Segmentation_x000D_
PCA_x000D_
SVM_x000D_
Transfuse_x000D_
Adaptive boosting_x000D_
Computerized tomography_x000D_
Decision trees_x000D_
Discrete wavelet transforms_x000D_
Image segmentation_x000D_
Mathematical morphology_x000D_
Nearest neighbor search_x000D_
Principal component analysis_x000D_
Signal reconstruction_x000D_
Support vector machines_x000D_
X ray radiography_x000D_
Chest X-ray_x000D_
Classification models_x000D_
CT-scan_x000D_
Discrete-wavelet-transform_x000D_
Support vectors machine</t>
  </si>
  <si>
    <t>The diagnosis of COVID-19 is greatly aided by radiological chest examinations. In this study, we conduct a comprehensive comparison of various classification models to classify COVID-19 from Chest X-ray images and devise an automated, precise model to segment the COVID-19 infected regions present in Chest CT Scans and make the results interpretable with the use of GradCAM. A total of 4000 images from the COVID-19 Radiography dataset were used for training and evaluating the models. In order to predict COVID-19 in Chest X-rays, the transfuse segmentation model [1] is used to segment the lungs. Radiomic features are then extracted and the most essential features were selected using Principle Component Analysis which were then used to train six classification models, namely support vector machines (SVM), Logistic Regression (LR), Decision Trees, AdaBoost (AB), K-Nearest Neighbors (KNN) and Random Forest. Support vector machines was the best-performing classifier with an accuracy of 0.9115 and an AUC of 0.9117. In the case of CT scans, lungs were segmented using image processing techniques, and a total of 2482 CT Scans from the SARS-COV-2 CT-Scan Dataset were used to train a ResNet18 CNN architecture, whose results were made interpretable by employing gradCAM. Furthermore, infections were segmented from the CT scans using two image processing based approaches, the first making use of the Discrete Wavelet Transform and the second approach performing morphological operations. The ResNet18 CNN used for assisting GradCAM achieved a testing accuracy of 96.34%. In order to evaluate the results, the infections were compared with 25 manually segmented CT scans and achieved a precision of 0.975, a recall of 0.960, and an IOU score of 0.937. © 2023 IEEE.</t>
  </si>
  <si>
    <t>AUC_x000D_
CNNs_x000D_
computer-aided diagnostic techniques_x000D_
F-1 score_x000D_
malaria_x000D_
Mosquito-Net_x000D_
Blood_x000D_
Computer aided diagnosis_x000D_
Computer aided instruction_x000D_
Convolutional neural networks_x000D_
Diseases_x000D_
Image recognition_x000D_
Learning algorithms_x000D_
mHealth_x000D_
Mobile telecommunication systems_x000D_
Computation power_x000D_
Computer aided diagnostics_x000D_
Diagnostic accuracy_x000D_
Feature extraction and classification_x000D_
Malaria diagnosis_x000D_
Medical facility_x000D_
Medical practitioner_x000D_
Model interpretations_x000D_
Deep learning</t>
  </si>
  <si>
    <t>Malaria is considered one of the deadliest diseases in today's world, which causes thousands of deaths per year. The parasites responsible for malaria are scientifically known as Plasmodium, which infects the red blood cells in human beings. Diagnosis of malaria requires identification and manual counting of parasitized cells in microscopic blood smears by medical practitioners. Its diagnostic accuracy is primarily affected by extensive scale screening due to the unavailability of resources. State of the art Computer-Aided Diagnostic techniques based on deep learning algorithms such as CNNs, which perform an end to end feature extraction and classification, have widely contributed to various image recognition tasks. In this paper, we evaluate the performance of Mosquito-Net, a custom made convnet to classify the infected and uninfected blood smears for malaria diagnosis. The CADx system can be deployed on IoT and mobile devices due to its fewer parameters and computation power, making it wildly preferable for diagnosis in remote and rural areas that lack medical facilities. Statistical analysis demonstrates that the proposed model achieves greater accuracy than the previous SOTA architectures for malaria diagnosis despite being 10 times lighter in parameters and inference time. Mosquito-Net achieves an AUC of 99.009% and an F-1 score of 96.7% on the validation set. © 2021 John Wiley &amp; Sons Ltd.</t>
  </si>
  <si>
    <t>34-38</t>
  </si>
  <si>
    <t>Deep Learning_x000D_
GradCAM_x000D_
Image Processing_x000D_
Immune Cell_x000D_
Cytology_x000D_
Diagnosis_x000D_
Medical imaging_x000D_
Activation mapping_x000D_
Cell shapes_x000D_
Frequency spaces_x000D_
Image processing technique_x000D_
Immune cells_x000D_
Multiple cells_x000D_
Non-maximum suppression_x000D_
Single cells_x000D_
Cells</t>
  </si>
  <si>
    <t>This paper focuses on the analysis of behavior of immune cells for supporting diagnosis. The previous work has proposed to detect immune cells from medical images by recognition frequency space. However, the work has a problem that selects a region including multiple cells as a single cell. This paper aims to relax the problem by focusing the locality of cell shapes. Our proposal uses gradient-weighted class activation mapping (GradCAM) to capture locality characteristics of immune cells. The results shows that the densely inhabited immune cells are correctly selected. Our proposal has some issues that a cell is occasionally detected as multiple ones. We consider that this issue is can be solved by image processing techniques such as non-maximum suppression. © 2021 IEEE.</t>
  </si>
  <si>
    <t>2022 9th International Conference on Software Defined Systems, SDS 2022</t>
  </si>
  <si>
    <t>https://www.scopus.com/inward/record.uri?eid=2-s2.0-85150677677&amp;doi=10.1109%2fSDS57574.2022.10062941&amp;partnerID=40&amp;md5=ed1a67e3958505ea8c2fd0d32a93bbc7</t>
  </si>
  <si>
    <t>Biometrics_x000D_
deep learning_x000D_
face detection_x000D_
Grad-CAM_x000D_
identification_x000D_
texture analysis_x000D_
Feature extraction_x000D_
Textures_x000D_
Biometric systems_x000D_
Detection and identifications_x000D_
Face identification_x000D_
Faces detection_x000D_
Facial identification_x000D_
Texture features_x000D_
Face recognition</t>
  </si>
  <si>
    <t>The majority of conventional biometric systems have emphasized the use of manually created features for facial identification. Multimodal biometric systems, however, incorporate a number of traits. Given how challenging it is to create dependable features that can adapt to changes in the input images, feature extraction is unquestionably a crucial step for the effectiveness of these approaches. In this study, we introduce novel methods for identifying deep-face textures for the purpose to recognize people. The proposed methods are based on texture analysis, LBP algorithm, skewness coefficients, and morphological transformations using heatmap visualizations of GradCAM, GradCAM++, and ScoreCam models. They allow recognizing people using facial location from 2D or 3D images with texture masking and face bartering. © 2022 IEEE.</t>
  </si>
  <si>
    <t>https://www.scopus.com/inward/record.uri?eid=2-s2.0-85116899789&amp;doi=10.1016%2fj.patrec.2021.08.035&amp;partnerID=40&amp;md5=c6ce985dc4aaf64bf5412ac3b074cf79</t>
  </si>
  <si>
    <t>COVID-19_x000D_
Densenet-121_x000D_
Densenet-201_x000D_
Imagenet_x000D_
Xception_x000D_
Computerized tomography_x000D_
Deep learning_x000D_
Diagnosis_x000D_
Image classification_x000D_
Statistical tests_x000D_
Algeria_x000D_
Chest CT scans_x000D_
Classification models_x000D_
Learning models_x000D_
Transfer learning_x000D_
Viruses</t>
  </si>
  <si>
    <t>COVID-19 is an infectious and contagious virus. As of this writing, more than 160 million people have been infected since its emergence, including more than 125,000 in Algeria. In this work, We first collected a dataset of 4986 COVID and non-COVID images confirmed by RT-PCR tests at Tlemcen hospital in Algeria. Then we performed a transfer learning on deep learning models that got the best results on the ImageNet dataset, such as DenseNet121, DenseNet201, VGG16, VGG19, Inception Resnet-V2, and Xception, in order to conduct a comparative study. Therefore, We have proposed an explainable model based on the DenseNet201 architecture and the GradCam explanation algorithm to detect COVID-19 in chest CT images and explain the output decision. Experiments have shown promising results and proven that the introduced model can be beneficial for diagnosing and following up patients with COVID-19. © 2021 Elsevier B.V.</t>
  </si>
  <si>
    <t>Classification of COVID-19 and non-COVID-19 lung computed tomography images using machine learning</t>
  </si>
  <si>
    <t>https://www.scopus.com/inward/record.uri?eid=2-s2.0-85152821211&amp;doi=10.1016%2fB978-0-32-398370-9.00019-6&amp;partnerID=40&amp;md5=227d8cfe460988638b0624ef846e6fc3</t>
  </si>
  <si>
    <t>10.1016/B978-0-32-398370-9.00019-6</t>
  </si>
  <si>
    <t>classification_x000D_
computed tomography_x000D_
COVID-19_x000D_
image processing_x000D_
Machine learning</t>
  </si>
  <si>
    <t>A novel coronavirus disease 2019 (COVID-19) was first reported in Wuhan, China in late December 2019. In March 2020, World Health Organization (WHO) declared this sudden epidemic as a global pandemic. It is highly contagious and can cause serious lung inflammation. The typical symptoms are fever, cough, shortness of breath, headache and sore throat. Till 23 August 2021, a total of more than 211 million cases of COVID-19 have been reported to WHO worldwide, with a total of more than 4.4 million of deaths. Hence early detection is crucial to control the spread. Currently, the key diagnosis method is the reverse transcription polymerase chain reaction (RT-PCR) test using swab samples. However, it is subject to certain limitations, such as low sensitivity and shortage of kits. To address these issues, lung computed tomography (CT) scan can be the alternative as it is fast, easy, and proven to be sensitive in detecting COVID-19 cases. This study presents an automated method to differentiate the COVID-19 CT images from the Non-COVID-19 images using different convolutional neural networks (CNN) through three stages procedures. In the first stage, the dataset which consists of 746 images of COVID-19 and Non-COVID-19 was split into 3 parts for training, validation, and testing, respectively. The training and validation data were then applied with different augmentation techniques to increase the dataset, while the testing data remained with no augmentation. In stage 2, 10 different pretrained CNNs were initialized to train and classify the binary class. In stage 3, gradient descent class activation mapping (GradCAM) was used for abnormality localization. The best performance was achieved by ResNet152, ResNeXt, GoogleNet, and DenseNet201 with the highest overall accuracy of 98.51%. ResNet152, GoogleNet, and DenseNet201 had achieved a sensitivity of 100%, and specificity of 97.06%, whereas ResNeXt had achieved a sensitivity of 96.97%, and specificity of 100%. © 2023 Elsevier Inc. All rights reserved.</t>
  </si>
  <si>
    <t>Proceedings - 2021 2nd International Seminar on Artificial Intelligence, Networking and Information Technology, AINIT 2021</t>
  </si>
  <si>
    <t>https://www.scopus.com/inward/record.uri?eid=2-s2.0-85127471320&amp;doi=10.1109%2fAINIT54228.2021.00039&amp;partnerID=40&amp;md5=d3906743070fd4508129f0064f20e43e</t>
  </si>
  <si>
    <t>Breast cancer_x000D_
Chatbot_x000D_
Convolutional neural network_x000D_
Flask_x000D_
Keywords-Deep learning_x000D_
Knowledge graph_x000D_
Natural language process_x000D_
Application programming interfaces (API)_x000D_
Bottles_x000D_
Convolution_x000D_
Convolutional neural networks_x000D_
Deep learning_x000D_
Diagnosis_x000D_
Diseases_x000D_
Image recognition_x000D_
Medical imaging_x000D_
User interfaces_x000D_
Chat system_x000D_
Chatbots_x000D_
Effective approaches_x000D_
Health condition_x000D_
Keyword-deep learning_x000D_
Knowledge graphs_x000D_
Sub-systems_x000D_
Natural language processing systems</t>
  </si>
  <si>
    <t>AI medical diagnosis has become an easy and effective approach method by which patients could get their health reports faster. This paper introduced an integrated AI medical diagnosis application with an image recognition system, chat system, and user interface. With the powerful help of the Convolutional Neural Network (CNN), an accurate image diagnosis system for breast cancer is ready to use. The chat system provides a bond between AI and patients through communication, using the QA sub-system based on Knowledge Graph (KG) and the casual chat sub-system based on Natural Language Process (NLP). Health condition query and common converse are satisfied respectively by QA sub-system and casual chat sub-system. Depending on the user's intentional probability of medical problems, the casual chat system will interfere if the user's intention is not matched in Knowledge Graph. Besides the deep learning part to process patient's data, an easy-to-use user interface is also designed to guide people getting intended information, using Flask framework to offer API and jQuery to send a request. Our accuracy achieves 0.88 in breast cancer detection, and the result of GradCAM indicates the CNN network has a high performance on such a task. The practical experiment shows that the patient's intention can proceed well in the chat system and that application can provide people advantageous feedback according to their health condition. © 2021 IEEE.</t>
  </si>
  <si>
    <t>L. Li; J. Gong; W. Yan; X. Feng; Z. Yang; F. Wen; C. Luo</t>
  </si>
  <si>
    <t>Classification of Schizophrenia Based on Graph Product Depth Neural Network Fusion of fMRI and dMRI Multidimensional Information</t>
  </si>
  <si>
    <t>https://www.scopus.com/inward/record.uri?eid=2-s2.0-85173035137&amp;doi=10.1117%2f12.2687406&amp;partnerID=40&amp;md5=08fb55c49b23346e128ed6cd200cc356</t>
  </si>
  <si>
    <t>10.1117/12.2687406</t>
  </si>
  <si>
    <t>Brain Connectivity_x000D_
Classification_x000D_
Graph Neural Networks_x000D_
Neuroimaging_x000D_
Schizophrenia_x000D_
Brain_x000D_
Computer aided diagnosis_x000D_
Diseases_x000D_
Functional neuroimaging_x000D_
Magnetic resonance_x000D_
Magnetic resonance imaging_x000D_
Brain magnetic resonance images_x000D_
Classification algorithm_x000D_
Graph product_x000D_
Multidimensional information_x000D_
Multimodal information fusion_x000D_
Neural network fusions_x000D_
Schizophrenic patients_x000D_
Classification (of information)</t>
  </si>
  <si>
    <t>At present, the diagnosis of schizophrenia mainly depends on scale evaluation and expert interview, which is subjective. It may lead to misdiagnosis. Therefore, an objective classification algorithm of schizophrenia based on multimodal information fusion is proposed. First, the brain magnetic resonance images (MRI) of schizophrenic patients and healthy controls were acquired. Then, information from multi-modal MRI was extracted and fused to build a graph. At last, a deep graph neural network was used to classify the individual graph of two groups GradCAM method was used to visualize the feature weights of the model. It’s found that two groups of participants can be effectively classified based on graph features. It also revealed that neuroimaging features from the occipital lobe, frontal lobe and limbic system played an important role in classification process. The present work indicated that the integration of neural science and information science has good application potential in disease diagnosis and pathological imaging. © 2023 SPIE.</t>
  </si>
  <si>
    <t>Proceedings of the IEEE Computer Society Conference on Computer Vision and Pattern Recognition</t>
  </si>
  <si>
    <t>https://www.scopus.com/inward/record.uri?eid=2-s2.0-85165646846&amp;doi=10.1109%2fCVPR52729.2023.01469&amp;partnerID=40&amp;md5=32930644d71a838eb6167da205029515</t>
  </si>
  <si>
    <t>grouping and shape analysis_x000D_
Segmentation</t>
  </si>
  <si>
    <t>Weakly supervised semantic segmentation (WSSS) with image-level labels is a challenging task. Mainstream approaches follow a multi-stage framework and suffer from high training costs. In this paper, we explore the potential of Contrastive Language-Image Pre-training models (CLIP) to localize different categories with only image-level labels and without further training. To efficiently generate high-quality segmentation masks from CLIP, we propose a novel WSSS framework called CLIP-ES. Our framework improves all three stages of WSSS with special designs for CLIP: 1) We introduce the softmax function into GradCAM and exploit the zero-shot ability of CLIP to suppress the confusion caused by non-target classes and backgrounds. Mean-while, to take full advantage of CLIP, we re-explore text inputs under the WSSS setting and customize two text-driven strategies: sharpness-based prompt selection and synonym fusion. 2) To simplify the stage of CAM refinement, we propose a real-time class-aware attention-based affinity (CAA) module based on the inherent multi-head self-attention (MHSA) in CLIP- ViTs. 3) When training the final segmentation model with the masks generated by CLIP, we introduced a confidence-guided loss (CGL) focus on confident regions. Our CLIP-ES achieves SOTA performance on Pascal VOC 2012 and MS COCO 2014 while only taking 10% time of previous methods for the pseudo mask generation. Code is available at https://github.com/linyq2117/CLIP-ES. © 2023 IEEE.</t>
  </si>
  <si>
    <t>https://www.scopus.com/inward/record.uri?eid=2-s2.0-85180543779&amp;doi=10.1109%2fICASSP49357.2023.10096766&amp;partnerID=40&amp;md5=541da8fe7526e46a91a53c908477aa80</t>
  </si>
  <si>
    <t>Computer Vision_x000D_
DNNs_x000D_
Explanation Heatmaps_x000D_
Explanation Learning_x000D_
Classification accuracy_x000D_
Cosine similarity_x000D_
DNN_x000D_
Explanation heatmap_x000D_
Heatmaps_x000D_
Human annotations_x000D_
Learning methods_x000D_
Model use</t>
  </si>
  <si>
    <t>Generating the heatmaps is one of the explanation methods to show what regions the model use to predict in vision tasks. GradCAM is a popular approach to provide such heatmaps. However, GradCAM is post-hoc, and its heatmaps are not always meeting human annotations. Inspired by CGC (Contrastive GradCAM consistency), we propose ICEL (InConsistent Explanation Learning) method which introduces inconsistent explanation loss measured by cosine similarity on heatmaps. We show that our method can preserve classification accuracy, while the heatmaps generated by explanation methods are more consistent with human annotations, and the computational complexity is reduced from O(n2) to O(n), compared with CGC. © 2023 IEEE.</t>
  </si>
  <si>
    <t>https://www.scopus.com/inward/record.uri?eid=2-s2.0-85139596030&amp;doi=10.1016%2fj.cmpb.2022.107161&amp;partnerID=40&amp;md5=b58be41e5d7b4209828ff3915e5921e6</t>
  </si>
  <si>
    <t>Attention mechanism_x000D_
CBR_x000D_
Deep learning_x000D_
EBM_x000D_
Expert system_x000D_
Explainable artificial intelligence (XAI)_x000D_
GradCAM_x000D_
Healthcare_x000D_
LIME_x000D_
LRP_x000D_
Machine learning_x000D_
PRISMA_x000D_
Rule-based_x000D_
Saliency map_x000D_
SHAP_x000D_
Artificial Intelligence_x000D_
Delivery of Health Care_x000D_
Humans_x000D_
Clinical research_x000D_
Decision making_x000D_
Diagnosis_x000D_
Expert systems_x000D_
Fuzzy sets_x000D_
Health care_x000D_
Hospital data processing_x000D_
Learning systems_x000D_
Attention mechanisms_x000D_
Machine-learning_x000D_
Rule based_x000D_
attention_x000D_
fuzzy system_x000D_
human_x000D_
prediction_x000D_
Preferred Reporting Items for Systematic Reviews and Meta-Analyses_x000D_
review_x000D_
systematic review_x000D_
health care delivery</t>
  </si>
  <si>
    <t>Background and objectives: Artificial intelligence (AI) has branched out to various applications in healthcare, such as health services management, predictive medicine, clinical decision-making, and patient data and diagnostics. Although AI models have achieved human-like performance, their use is still limited because they are seen as a black box. This lack of trust remains the main reason for their low use in practice, especially in healthcare. Hence, explainable artificial intelligence (XAI) has been introduced as a technique that can provide confidence in the model's prediction by explaining how the prediction is derived, thereby encouraging the use of AI systems in healthcare. The primary goal of this review is to provide areas of healthcare that require more attention from the XAI research community. Methods: Multiple journal databases were thoroughly searched using PRISMA guidelines 2020. Studies that do not appear in Q1 journals, which are highly credible, were excluded. Results: In this review, we surveyed 99 Q1 articles covering the following XAI techniques: SHAP, LIME, GradCAM, LRP, Fuzzy classifier, EBM, CBR, rule-based systems, and others. Conclusion: We discovered that detecting abnormalities in 1D biosignals and identifying key text in clinical notes are areas that require more attention from the XAI research community. We hope this is review will encourage the development of a holistic cloud system for a smart city. © 2022 Elsevier B.V.</t>
  </si>
  <si>
    <t>J. Lorentz; T. Hartmann; A. Moawad; F. Fouquet; D. Aouada</t>
  </si>
  <si>
    <t>Explaining Defect Detection with Saliency Maps</t>
  </si>
  <si>
    <t>12799 LNAI</t>
  </si>
  <si>
    <t>506-518</t>
  </si>
  <si>
    <t>https://www.scopus.com/inward/record.uri?eid=2-s2.0-85112725055&amp;doi=10.1007%2f978-3-030-79463-7_43&amp;partnerID=40&amp;md5=9785d6546b080fb7537ce2878b0c7374</t>
  </si>
  <si>
    <t>10.1007/978-3-030-79463-7_43</t>
  </si>
  <si>
    <t>Defect detection_x000D_
Edge AI_x000D_
Saliency_x000D_
XAI_x000D_
Deep neural networks_x000D_
Defects_x000D_
Intelligent systems_x000D_
Quality assurance_x000D_
Throughput_x000D_
Computational costs_x000D_
Industrial quality_x000D_
Intelligent qualities_x000D_
Manufacturing domains_x000D_
Post classification_x000D_
Real-time application_x000D_
State-of-the-art performance_x000D_
Computer vision</t>
  </si>
  <si>
    <t>The rising quality and throughput demands of the manufacturing domain require flexible, accurate and explainable computer-vision solutions for defect detection. Deep Neural Networks (DNNs) reach state-of-the-art performance on various computer-vision tasks but wide-spread application in the industrial domain is blocked by the lacking explainability of DNN decisions. A promising, human-readable solution is given by saliency maps, heatmaps highlighting the image areas that influence the classifier’s decision. This work evaluates a selection of saliency methods in the area of industrial quality assurance. To this end we propose the distance pointing game, a new metric to quantify the meaningfulness of saliency maps for defect detection. We provide steps to prepare a publicly available dataset on defective steel plates for the proposed metric. Additionally, the computational complexity is investigated to determine which methods could be integrated on industrial edge devices. Our results show that DeepLift, GradCAM and GradCAM++ outperform the alternatives while the computational cost is feasible for real time applications even on edge devices. This indicates that the respective methods could be used as an additional, autonomous post-classification step to explain decisions taken by intelligent quality assurance systems. © 2021, Springer Nature Switzerland AG.</t>
  </si>
  <si>
    <t>2022 IEEE ANDESCON: Technology and Innovation for Andean Industry, ANDESCON 2022</t>
  </si>
  <si>
    <t>https://www.scopus.com/inward/record.uri?eid=2-s2.0-85146428811&amp;doi=10.1109%2fANDESCON56260.2022.9989825&amp;partnerID=40&amp;md5=79011fa1df1a41a0850c32b40045d217</t>
  </si>
  <si>
    <t>Deep Learning_x000D_
Impulsive Compulsive Disorders_x000D_
MRI_x000D_
Parkinson_x000D_
Disease control_x000D_
Learning systems_x000D_
Network architecture_x000D_
Neurons_x000D_
Pattern recognition_x000D_
Condition_x000D_
Impulse control_x000D_
Impulsive compulsive disorder_x000D_
Learning architectures_x000D_
Learning techniques_x000D_
Parkinson's disease_x000D_
Pre-processing techniques_x000D_
Side effect_x000D_
Magnetic resonance imaging</t>
  </si>
  <si>
    <t>In Parkinson's disease (PD) several neuropsychiatric conditions are highly frequent including impulse control disorders (ICD). Driven by medication's side-effects, these disorders lead to issues in self-control over rewarding cues that produce excessive behavior. Yet, objective means to detect and diagnose presence and severity of impulsivity in PD is lacking. The method developed in this work seeks to identify anatomical patterns in magnetic resonance images, which allow to classify PD with ICD vs PD patients using deep learning techniques. The proposed method includes pre-processing techniques to standardize magnetic resonance images. Different experiments using a variety of deep learning architectures were designed to classify the patterns. A GradCAM technique was also used for identifying the regions where the anatomical patterns were identified, which differentiate the two groups. We reveal an objective way to predict the presence of patterns associated to ICD in anatomical scans. Our model achieved an accuracy of 97.4% using Convolutional Neuronal Networks with an ensemble architecture; a novel objective clinical tool to diagnose ICD and better characterize detection of this severe neuropsychiatric problem. © 2022 IEEE.</t>
  </si>
  <si>
    <t>https://www.scopus.com/inward/record.uri?eid=2-s2.0-85127529912&amp;doi=10.1109%2fTMI.2022.3163232&amp;partnerID=40&amp;md5=0a0efb1ad4ca016abf6fb8c3f0cc4372</t>
  </si>
  <si>
    <t>classification_x000D_
Generalized zero shot learning_x000D_
pathology_x000D_
saliency_x000D_
self supervised learning_x000D_
X-ray_x000D_
Classification (of information)_x000D_
Clustering algorithms_x000D_
Computer vision_x000D_
Diagnosis_x000D_
Image analysis_x000D_
Image classification_x000D_
Image enhancement_x000D_
Medical imaging_x000D_
Semantic Segmentation_x000D_
Supervised learning_x000D_
Zero-shot learning_x000D_
Images segmentations_x000D_
Learning methods_x000D_
Medical diagnostic imaging_x000D_
Medical image classification_x000D_
Saliency map_x000D_
Task analysis_x000D_
X-ray imaging_x000D_
Article_x000D_
data clustering_x000D_
diagnostic accuracy_x000D_
diagnostic imaging_x000D_
disease carrier_x000D_
human_x000D_
supervised machine learning_x000D_
validation study_x000D_
Semantics</t>
  </si>
  <si>
    <t>In many real world medical image classification settings, access to samples of all disease classes is not feasible, affecting the robustness of a system expected to have high performance in analyzing novel test data. This is a case of generalized zero shot learning (GZSL) aiming to recognize seen and unseen classes. We propose a GZSL method that uses self supervised learning (SSL) for: 1) selecting representative vectors of disease classes; and 2) synthesizing features of unseen classes. We also propose a novel approach to generate GradCAM saliency maps that highlight diseased regions with greater accuracy. We exploit information from the novel saliency maps to improve the clustering process by: 1) Enforcing the saliency maps of different classes to be different; and 2) Ensuring that clusters in the space of image and saliency features should yield class centroids having similar semantic information. This ensures the anchor vectors are representative of each class. Different from previous approaches, our proposed approach does not require class attribute vectors which are essential part of GZSL methods for natural images but are not available for medical images. Using a simple architecture the proposed method outperforms state of the art SSL based GZSL performance for natural images as well as multiple types of medical images. We also conduct many ablation studies to investigate the influence of different loss terms in our method. © 1982-2012 IEEE.</t>
  </si>
  <si>
    <t>Proceedings - 2023 IEEE Ural-Siberian Conference on Biomedical Engineering, Radioelectronics and Information Technology, USBEREIT 2023</t>
  </si>
  <si>
    <t>72-75</t>
  </si>
  <si>
    <t>https://www.scopus.com/inward/record.uri?eid=2-s2.0-85164974864&amp;doi=10.1109%2fUSBEREIT58508.2023.10158853&amp;partnerID=40&amp;md5=ccdf606511eb345f8945585ba3895f5f</t>
  </si>
  <si>
    <t>atrial fibrillation_x000D_
heart rate variability_x000D_
patient identification_x000D_
recurrent neural network_x000D_
Convolution_x000D_
Convolutional neural networks_x000D_
Electrocardiograms_x000D_
Heart_x000D_
Long short-term memory_x000D_
Multilayer neural networks_x000D_
Convolutional neural network_x000D_
Heart disease_x000D_
Model-based OPC_x000D_
Normal sinus rhythm_x000D_
Recurrent models_x000D_
Recurrent neural network model_x000D_
Sinus rhythm_x000D_
Diseases</t>
  </si>
  <si>
    <t>Atrial fibrillation (AF) is one of the most common heart diseases in population. Timely diagnosis of AF is challenging due to the asymptomatic and episodic nature of the disease. It is therefore necessary to develop methods that can identify patients with AF using electrocardiographic data of normal sinus rhythm when there's no abnormal rhythm present in recordings. Models based on convolutional neural networks have been successful using 12-lead ECGs with high sampling rates. We believe it is possible to solve the problem with more generalised biomarker data of heart rate variability. We consider recurrent neural networks for this task. In this paper, we consider a convolutional recurrent neural network (CRNN) model with LSTM layers and compare its classification performance to a convolutional neural network (CNN) with a global average pooling operator. In addition, we generate attention maps of the CRNN model and demonstrate the peculiarities of its decision mechanism. Open PhysioNet data is used for model training; data from a local clinical hospital is used for model validation. In general, the CRNN model shows better patient classification results and provides interpretable attention maps with GradCAM++ method. © 2023 IEEE.</t>
  </si>
  <si>
    <t>2023 International Conference on Recent Advances in Electrical, Electronics and Digital Healthcare Technologies, REEDCON 2023</t>
  </si>
  <si>
    <t>https://www.scopus.com/inward/record.uri?eid=2-s2.0-85163842640&amp;doi=10.1109%2fREEDCON57544.2023.10151342&amp;partnerID=40&amp;md5=da9535977aa82cbcf8903c4b7b213e8d</t>
  </si>
  <si>
    <t>Agriculture_x000D_
Convolution neural network_x000D_
Deep Learning_x000D_
Plant disease classification_x000D_
Vision Transformer_x000D_
Automation_x000D_
Convolution_x000D_
Convolutional neural networks_x000D_
Automated systems_x000D_
Classification decision_x000D_
Disease classification_x000D_
Performance_x000D_
Plant disease_x000D_
Production yield</t>
  </si>
  <si>
    <t>Agriculture is the backbone of the Indian economy and it caters to the basic necessity of food for billions. Hence, increasing the production yield is a serious challenge, however, it sometimes gets affected with the microorganism-caused infections that severely affects the per acre produce. Therefore, the objective of this study is to develop an automated system for an early detection of plant disease. In the proposed work, pre-trained Vision Transformer architecture has been fine-tuned for plant disease classification. The classification decision made by the proposed model has also been interpreted using the GradCAM algorithm with the help of visualisation. The performance of the proposed method has also been compared with the state-of-the-art pre-trained convolution neural networks fine-tuned for the same purpose. The proposed method has been tested with the 'PlantVillage' public dataset which consisting of 39 classes of plant images. The experimental results show that the proposed method classifies the 39 classes (38 diseased/healthy, 1 leaf image without background) of plant images with 98.22% accuracy. © 2023 IEEE.</t>
  </si>
  <si>
    <t>https://www.scopus.com/inward/record.uri?eid=2-s2.0-85138127320&amp;doi=10.1109%2fEMBC48229.2022.9871235&amp;partnerID=40&amp;md5=1c7bfe1cda1242527f70a999ebbb3a1a</t>
  </si>
  <si>
    <t>COVID-19_x000D_
Humans_x000D_
Lung_x000D_
Neural Networks, Computer_x000D_
Point-of-Care Systems_x000D_
Ultrasonography_x000D_
Computer aided diagnosis_x000D_
Convolutional neural networks_x000D_
Deep learning_x000D_
Network architecture_x000D_
Ultrasonic applications_x000D_
Classification tasks_x000D_
Computer vision algorithms_x000D_
Convolutional neural network_x000D_
Image interpretation_x000D_
Imaging modality_x000D_
Learning techniques_x000D_
Lung ultrasound_x000D_
Patient images_x000D_
Point of care_x000D_
Ultrasound images_x000D_
diagnostic imaging_x000D_
echography_x000D_
human_x000D_
point of care system</t>
  </si>
  <si>
    <t>The coronavirus disease 2019 (COVID-19) evolved into a global pandemic, responsible for a significant number of infections and deaths. In this scenario, point-of-care ultrasound (POCUS) has emerged as a viable and safe imaging modality. Computer vision (CV) solutions have been proposed to aid clinicians in POCUS image interpretation, namely detection/segmentation of structures and image/patient classification but relevant challenges still remain. As such, the aim of this study is to develop CV algorithms, using Deep Learning techniques, to create tools that can aid doctors in the diagnosis of viral and bacterial pneumonia (VP and BP) through POCUS exams. To do so, convolutional neural networks were designed to perform in classification tasks. The architectures chosen to build these models were the VGG16, ResNet50, DenseNet169 e MobileNetV2. Patients images were divided in three classes: healthy (HE), BP and VP (which includes COVID-19). Through a comparative study, which was based on several performance metrics, the model based on the DenseNet169 architecture was designated as the best performing model, achieving 78% average accuracy value of the five iterations of 5- Fold Cross-Validation. Given that the currently available POCUS datasets for COVID-19 are still limited, the training of the models was negatively affected by such and the models were not tested in an independent dataset. Furthermore, it was also not possible to perform lesion detection tasks. Nonetheless, in order to provide explainability and understanding of the models, Gradient-weighted Class Activation Mapping (GradCAM) were used as a tool to highlight the most relevant classification regions. Clinical relevance - Reveals the potential of POCUS to support COVID-19 screening. The results are very promising although the dataset is limite © 2022 IEEE.</t>
  </si>
  <si>
    <t>Breast tumour_x000D_
Computed Aided Detection_x000D_
Digital Breast Tomosynthesis_x000D_
GradCAM_x000D_
Computer aided diagnosis_x000D_
E-learning_x000D_
Learning systems_x000D_
Medical imaging_x000D_
Tomography_x000D_
Breast lesion_x000D_
Breast tomosynthesis_x000D_
Diagnosis support_x000D_
Learning architectures_x000D_
Learning methods_x000D_
Neural-networks_x000D_
Deep learning</t>
  </si>
  <si>
    <t>The aim of the DeepLook project, funded by INFN (Italy), is to implement a deep learning architecture for Computed Aided Detection (CAD), based on neural networks developed with deep learning methods, for the automatic detection and classification of breast lesions in DBT images. A preliminary step (started 2 years ago and still ongoing) was the creation of a dataset of annotated images. This dataset includes images acquired with different clinical DBT units and different acquisition geometries, on several hundred patients, containing a variety of possible breast lesions and normal cases of absence of lesions. This will make the diagnostic capacity of the CAD system particularly extensive in various clinical situations and on a significant sample of patients, so allowing the network to diagnose various types of lesions (at the level of the single tomosynthesis slices) and capable of operate on commercial DBT systems, also available from different vendors, as found in breast diagnosis departments. The developed CAD and first result of the indication of the slice containing the suspected mass will be presented. © 2022 SPIE.</t>
  </si>
  <si>
    <t>https://www.scopus.com/inward/record.uri?eid=2-s2.0-85143798767&amp;doi=10.3390%2fs22239037&amp;partnerID=40&amp;md5=d743ac5a7a51f460ff5dc8cf603225f1</t>
  </si>
  <si>
    <t>condition monitoring_x000D_
explainable AI_x000D_
fault detection_x000D_
machine learning_x000D_
order analysis_x000D_
vibration analysis_x000D_
Algorithms_x000D_
Databases, Factual_x000D_
Humans_x000D_
Neural Networks, Computer_x000D_
Physical Therapy Modalities_x000D_
Vascular Diseases_x000D_
Vibration_x000D_
Classification (of information)_x000D_
Data visualization_x000D_
Deep neural networks_x000D_
Lime_x000D_
AI algorithms_x000D_
Faults detection_x000D_
Machine-learning_x000D_
Real-world_x000D_
Rotation speed_x000D_
Saliency map_x000D_
Vibration data_x000D_
Vibrations analysis_x000D_
algorithm_x000D_
factual database_x000D_
human_x000D_
physiotherapy_x000D_
vascular disease</t>
  </si>
  <si>
    <t>Analyzing vibration data using deep neural networks is an effective way to detect damages in rotating machinery at an early stage. However, the black-box approach of these methods often does not provide a satisfactory solution because the cause of classifications is not comprehensible to humans. Therefore, this work investigates the application of the explainable AI (XAI) algorithms to convolutional neural networks for vibration-based condition monitoring. Thus, the three XAI algorithms GradCAM, LRP and LIME with a modified perturbation strategy are applied to classifications based on the Fourier transform as well as the order analysis of the vibration signal. The following visualization as frequency-RPM maps and order-RPM maps allows for an effective assessment of saliency values for variable periodicity of the data, which translates to a varying rotation speed of a real-world machine. To compare the explanatory power of the XAI methods, investigations are first carried out with a synthetic data set with known class-specific characteristics. Both a visual and a quantitative analysis of the resulting saliency maps are presented. Then, a real-world data set for vibration-based imbalance classification on an electric motor, which runs at a broad range of rotation speeds, is used. The results indicate that the investigated algorithms are each partially successful in providing sample-specific saliency maps which highlight class-specific features and omit features which are not relevant for classification. © 2022 by the authors.</t>
  </si>
  <si>
    <t>D. Mindlin; M. Schilling; P. Cimiano</t>
  </si>
  <si>
    <t>ABC-GAN: Spatially Constrained Counterfactual Generation for Image Classification Explanations</t>
  </si>
  <si>
    <t>260-282</t>
  </si>
  <si>
    <t>https://www.scopus.com/inward/record.uri?eid=2-s2.0-85176937834&amp;doi=10.1007%2f978-3-031-44064-9_15&amp;partnerID=40&amp;md5=b482e2f60395591a6077c2b500e5364c</t>
  </si>
  <si>
    <t>10.1007/978-3-031-44064-9_15</t>
  </si>
  <si>
    <t>Counterfactuals_x000D_
Generative Explanations_x000D_
XAI_x000D_
Generative adversarial networks_x000D_
Image analysis_x000D_
Image classification_x000D_
'current_x000D_
Algorithmics_x000D_
Causal explanations_x000D_
Classification models_x000D_
Generative explanation_x000D_
Image similarity_x000D_
Images classification_x000D_
Original images_x000D_
Forecasting</t>
  </si>
  <si>
    <t>There is a growing interest in methods that explain predictions of image classification models to increase algorithmic transparency. Counterfactual Explanations (CFEs) provide a causal explanation as they introduce changes in the original image that change the classifier’s prediction. Current counterfactual generation approaches suffer from the fact that they potentially modify a too large region in the image that is not entirely causally related to a classifier’s decision, thus not always providing targeted explanations. We propose a new method, Attention Based Counterfactuals via CycleGAN (ABC-GAN), that combines attention-guided object translation with counterfactual image generation via Generative Adversarial Networks. To generate an explanation, ABC-GAN incorporates both a counterfactual loss and the classifier’s attention mechanism. By leveraging the attention map generated by GradCAM++, ABC-GAN alters regions in the image that are important for the classifier’s prediction. This approach ensures that the generated explanation focuses on the specific areas that contribute to the change in prediction while preserving the background and non-salient regions of the original image. We apply our approach to medical X-ray datasets (MURA Bone X-Ray, RSNA Chest X-ray) and compare it to state-of-the-art methods. We demonstrate the feasibility and, in the case of the MURA dataset, the superiority of ABC-GAN in all the measured metrics with the highest percentage of counterfactuals (99% Validity) and image similarity. On the other dataset, our method outperforms the competitive methods in small changes and image similarity. We argue that ABC-GAN is thus beneficial for classification problems requiring precise and minimal CFEs. © 2023, The Author(s), under exclusive license to Springer Nature Switzerland AG.</t>
  </si>
  <si>
    <t>Rotate to attend: Convolutional triplet attention module</t>
  </si>
  <si>
    <t>Proceedings - 2021 IEEE Winter Conference on Applications of Computer Vision, WACV 2021</t>
  </si>
  <si>
    <t>https://www.scopus.com/inward/record.uri?eid=2-s2.0-85102670796&amp;doi=10.1109%2fWACV48630.2021.00318&amp;partnerID=40&amp;md5=7621b1ee94bdf5787b6f166862d38091</t>
  </si>
  <si>
    <t>Classification (of information)_x000D_
Computer vision_x000D_
Attention mechanisms_x000D_
Branch structure_x000D_
Channel information_x000D_
Computational overheads_x000D_
Light weight_x000D_
Novel methods_x000D_
Rotation operations_x000D_
Spatial informations_x000D_
Spatial location_x000D_
Three-branch_x000D_
Object detection</t>
  </si>
  <si>
    <t>Benefiting from the capability of building interdependencies among channels or spatial locations, attention mechanisms have been extensively studied and broadly used in a variety of computer vision tasks recently. In this paper, we investigate light-weight but effective attention mechanisms and present triplet attention, a novel method for computing attention weights by capturing crossdimension interaction using a three-branch structure. For an input tensor, triplet attention builds inter-dimensional dependencies by the rotation operation followed by residual transformations and encodes inter-channel and spatial information with negligible computational overhead. Our method is simple as well as efficient and can be easily plugged into classic backbone networks as an add-on module. We demonstrate the effectiveness of our method on various challenging tasks including image classification on ImageNet-1k and object detection on MSCOCO and PASCAL VOC datasets. Furthermore, we provide extensive insight into the performance of triplet attention by visually inspecting the GradCAM and GradCAM++ results. The empirical evaluation of our method supports our intuition on the importance of capturing dependencies across dimensions when computing attention weights. Code for this paper can be publicly accessed at https://github.com/LandskapeAI/triplet-attention. © 2021 IEEE.</t>
  </si>
  <si>
    <t>COVID-19 detection_x000D_
CXR images_x000D_
FEM_x000D_
GradCam_x000D_
guided filter fusion_x000D_
texture-shape_x000D_
XDL_x000D_
Convolution_x000D_
Convolutional neural networks_x000D_
Deep neural networks_x000D_
Image enhancement_x000D_
Image texture_x000D_
Multilayer neural networks_x000D_
Textures_x000D_
Activation mapping_x000D_
Chest X-ray image_x000D_
Feature extraction map_x000D_
Features extraction_x000D_
Filter fusion_x000D_
Gradientweighted class activation mapping_x000D_
Guided filters_x000D_
COVID-19</t>
  </si>
  <si>
    <t>In this paper, we propose a novel method of explainable deep learning for COVID-19 detection in Chest X-ray (CXR) images, employing a Texture-Shape approach. The method extracts texture information from the first convolution layer and shape features from the last convolution layer of Deep Neural Networks, namely CNN, VGG16, and ResNet50. To generate the final explainable map, the extracted texture and shape heatmaps are fused using a guided filter-based method. Our approach is versatile and can be adapted to work with classical explainability methods commonly used in the literature. We validate the efficacy of our method on a well-known COVID-19 database comprising CXR images. We conduct extensive experiments to assess its performance against classical explainability methods such as FEM (Feature Extraction Map) and GradCam (Gradientweighted Class Activation Mapping). For evaluation, we calculate metrics such as the average drop and increase in confidence scores. The obtained results demonstrate that fusing texture and shape information leads to significantly improved explainability compared to conventional methods. © 2023 IEEE.</t>
  </si>
  <si>
    <t>https://www.scopus.com/inward/record.uri?eid=2-s2.0-85178372861&amp;doi=10.1016%2fj.ibmed.2023.100124&amp;partnerID=40&amp;md5=e36c835ff5a7e758369260d2a4fc0247</t>
  </si>
  <si>
    <t>10.1016/j.ibmed.2023.100124</t>
  </si>
  <si>
    <t>3D modeling_x000D_
Classification_x000D_
Computational anatomy_x000D_
Computational physiology_x000D_
Skin disease_x000D_
Synthetic data generation_x000D_
algorithm_x000D_
Article_x000D_
computer graphics_x000D_
computer model_x000D_
computer simulation_x000D_
controlled study_x000D_
data analysis_x000D_
data collection method_x000D_
data visualization_x000D_
deep learning_x000D_
deformity_x000D_
face model_x000D_
facial expression_x000D_
facial recognition_x000D_
female_x000D_
geometry_x000D_
human_x000D_
image analysis_x000D_
information processing_x000D_
major clinical study_x000D_
male_x000D_
mathematical model_x000D_
MobileNet V2_x000D_
MobileNet V3 Large_x000D_
morphology_x000D_
organotypic model_x000D_
parametric analysis of gene set enrichment_x000D_
physical capacity_x000D_
principal component analysis_x000D_
rhi3dgen data_x000D_
rhinophyma_x000D_
three-dimensional imaging_x000D_
validation process</t>
  </si>
  <si>
    <t>Within the realm of medical diagnosis, deep learning techniques have revolutionized the way diseases are identified and studied. However, a persistent challenge has been data scarcity for many disease categories. One primary reason for this is issues related to patient privacy and copyright constraints on medical datasets. To address this, our research explores the use of synthetic data generation, focusing on Rhinophyma, a subclass of Rosacea. Our novel approach uses 3D parametric modeling to create synthetic images of Rhinophyma, addressing the data scarcity problem. Through this method, we generated 20,000 images representing 2000 distinct anatomical deformations of Rhinophyma. This research not only showcases the potential of using 3D parametric modeling for Rhinophyma but hints at its applicability for other diseases with anatomical abnormalities. With just 30 % of this synthetic dataset, we achieved a remarkable 95 % recall in classifying 220 real-world Rhinophyma images. The performance of our classification model is further validated using GradCAM visualisation. Our findings underscore the potential of such techniques to propel medical research and develop superior deep learning diagnostic models when only limited real-world images are available. © 2023 The Authors</t>
  </si>
  <si>
    <t>https://www.scopus.com/inward/record.uri?eid=2-s2.0-85153671944&amp;doi=10.1109%2fCSDE56538.2022.10089337&amp;partnerID=40&amp;md5=e011af940c2721765f7b06132717200d</t>
  </si>
  <si>
    <t>explainability_x000D_
GradCAM_x000D_
IntegratedGradients_x000D_
layer attribution_x000D_
primary attribution_x000D_
XAI method_x000D_
Convolutional neural networks_x000D_
Convolutional neural network_x000D_
Integratedgradient_x000D_
Model interpretations_x000D_
Neural network model_x000D_
Remote-sensing_x000D_
Remote sensing</t>
  </si>
  <si>
    <t>In this paper, we investigate the use of Explainable Artificial Intelligence (XAI) methods for the interpretation of two Convolutional Neural Network (CNN) classifiers in the field of remote sensing (RS). Specifically, the SegNet and Unet architectures for RS building information extraction and segmentation are evaluated using a comprehensive array of primary-and layer-attributions XAI methods. The attribution methods are quantitatively evaluated using the sensitivity metric. Based on the visualization of the different XAI methods, Deconvolution and GradCAM results in many of the study areas show reliability. Moreover, these methods are able to accurately interpret both Unet's and SegNet's decisions and managed to analyze and reveal the internal mechanisms in both models (confirmed by the low sensitivity scores). Overall, no single method stood out as the best one. © 2022 IEEE.</t>
  </si>
  <si>
    <t>L. Muñoz-Saavedra; E. Escobar-Linero; J. Civit-Masot; F. Luna-Perejón; A. Civit; M. Domínguez-Morales</t>
  </si>
  <si>
    <t>https://www.scopus.com/inward/record.uri?eid=2-s2.0-85168725993&amp;doi=10.3390%2fs23167134&amp;partnerID=40&amp;md5=55f056cfe6fb9fde7b5a2a81d7b400fd</t>
  </si>
  <si>
    <t>convolutional neural network_x000D_
database_x000D_
ensemble_x000D_
monkeypox_x000D_
skin disease_x000D_
Algorithms_x000D_
Databases, Factual_x000D_
Humans_x000D_
Neural Networks, Computer_x000D_
Skin_x000D_
Classification (of information)_x000D_
Convolution_x000D_
Convolutional neural networks_x000D_
Classification algorithm_x000D_
Ensemble networks_x000D_
Global health_x000D_
Health emergencies_x000D_
Image-based classification_x000D_
Skin images_x000D_
algorithm_x000D_
artificial neural network_x000D_
diagnostic imaging_x000D_
factual database_x000D_
human_x000D_
Database systems</t>
  </si>
  <si>
    <t>Monkeypox is a smallpox-like disease that was declared a global health emergency in July 2022. Because of this resemblance, it is not easy to distinguish a monkeypox rash from other similar diseases; however, due to the novelty of this disease, there are no widely used databases for this purpose with which to develop image-based classification algorithms. Therefore, three significant contributions are proposed in this work: first, the development of a publicly available dataset of monkeypox images; second, the development of a classification system based on convolutional neural networks in order to automatically distinguish monkeypox marks from those produced by other diseases; and, finally, the use of explainable AI tools for ensemble networks. For point 1, free images of monkeypox cases and other diseases have been searched in government databases and processed until we are left with only a section of the skin of the patients in each case. For point 2, various pre-trained models were used as classifiers and, in the second instance, combinations of these were used to form ensembles. And, for point 3, this is the first documented time that an explainable AI technique (like GradCAM) is applied to the results of ensemble networks. Among all the tests, the accuracy reaches 93% in the case of single pre-trained networks, and up to 98% using an ensemble of three networks (ResNet50, EfficientNetB0, and MobileNetV2). Comparing these results with previous work, a substantial improvement in classification accuracy is observed. © 2023 by the authors.</t>
  </si>
  <si>
    <t>2022 IEEE World AI IoT Congress, AIIoT 2022</t>
  </si>
  <si>
    <t>https://www.scopus.com/inward/record.uri?eid=2-s2.0-85134880682&amp;doi=10.1109%2fAIIoT54504.2022.9817375&amp;partnerID=40&amp;md5=b48bc3456c6c1c5f5fd30cb9d75859e3</t>
  </si>
  <si>
    <t>COVID-19_x000D_
DenseNet169_x000D_
GradCAM_x000D_
Light-GBM_x000D_
MobileNet_x000D_
Univariate Feature Selection_x000D_
Activation analysis_x000D_
Classification (of information)_x000D_
Deep neural networks_x000D_
Diagnosis_x000D_
Feature Selection_x000D_
Chest X-ray image_x000D_
Features selection_x000D_
Gradient boosting_x000D_
Light gradients_x000D_
Univariate</t>
  </si>
  <si>
    <t>The COVID-19 disease was first discovered in Wuhan, China, and spread quickly worldwide. After the COVID-19 pandemic, many researchers have begun to identify a way to diagnose the COVID-19 using chest X-ray images. The early diagnosis of this disease can significantly impact the treatment process. In this article, we propose a new technique that is faster and more accurate than the other methods reported in the literature. The proposed method uses a combination of DenseNet169 and MobileNet Deep Neural Networks to extract the features of the patient's X-ray images. Using the univariate feature selection algorithm, we refined the features for the most important ones. Then we applied the selected features as input to the LightGBM (Light Gradient Boosting Machine) algorithm for classification. To assess the effectiveness of the proposed method, the ChestX-ray8 dataset, which includes 1125 X-ray images of the patient's chest, was used. The proposed method achieved 98.54% and 91.11% accuracies in the two-class (COVID-19, Healthy) and multi-class (COVID-19, Healthy, Pneumonia) classification problems, respectively. It is worth mentioning that we have used Gradient-weighted Class Activation Mapping (Grad-CAM) for future analysis. © 2022 IEEE.</t>
  </si>
  <si>
    <t>https://www.scopus.com/inward/record.uri?eid=2-s2.0-85161340363&amp;doi=10.1016%2fj.medntd.2023.100243&amp;partnerID=40&amp;md5=eb835a61788a36dec46bebb0f996e837</t>
  </si>
  <si>
    <t>10.1016/j.medntd.2023.100243</t>
  </si>
  <si>
    <t>Deep learning_x000D_
Disease diagnosis_x000D_
Image processing_x000D_
Machine learning_x000D_
Monkeypox virus_x000D_
Transfer learning_x000D_
AlexNet_x000D_
Article_x000D_
artificial intelligence_x000D_
controlled study_x000D_
convolutional neural network_x000D_
diagnostic accuracy_x000D_
disease classification_x000D_
false negative result_x000D_
false positive result_x000D_
GoogLeNet_x000D_
human_x000D_
measurement precision_x000D_
monkeypox_x000D_
Places365 GoogLeNet_x000D_
process optimization_x000D_
ResNet 18_x000D_
sensitivity and specificity_x000D_
skin defect_x000D_
SqueezeNet_x000D_
validation process_x000D_
virus detection</t>
  </si>
  <si>
    <t>As we set into the second half of 2022, the world is still recovering from the two-year COVID-19 pandemic. However, over the past three months, the outbreak of the Monkeypox Virus (MPV) has led to fifty-two thousand confirmed cases and over one hundred deaths. This caused the World Health Organisation to declare the outbreak a Public Health Emergency of International Concern (PHEIC). If this outbreak worsens, we could be looking at the Monkeypox virus causing the next global pandemic. As Monkeypox affects the human skin, the symptoms can be captured with regular imaging. Large samples of these images can be used as a training dataset for machine learning-based detection tools. Using a regular camera to capture the skin image of the infected person and running it against computer vision models is beneficial. In this research, we use deep learning to diagnose monkeypox from skin lesion images. Using a publicly available dataset, we tested the dataset on five pre-trained deep neural networks: GoogLeNet, Places365-GoogLeNet, SqueezeNet, AlexNet and ResNet-18. Hyperparameter was done to choose the best parameters. Performance metrics such as accuracy, precision, recall, f1-score and AUC were considered. Among the above models, ResNet18 was able to obtain the highest accuracy of 99.49%. The modified models obtained validation accuracies above 95%. The results prove that deep learning models such as the proposed model based on ResNet-18 can be deployed and can be crucial in battling the monkeypox virus. Since the used networks are optimized for efficiency, they can be used on performance limited devices such as smartphones with cameras. The addition of explainable artificial intelligence techniques LIME and GradCAM enables visual interpretation of the prediction made, helping health professionals using the model. © 2023 The Authors</t>
  </si>
  <si>
    <t>Proceedings - 2022 IEEE/CVF Winter Conference on Applications of Computer Vision Workshops, WACVW 2022</t>
  </si>
  <si>
    <t>https://www.scopus.com/inward/record.uri?eid=2-s2.0-85126801268&amp;doi=10.1109%2fWACVW54805.2022.00045&amp;partnerID=40&amp;md5=2cdcacf5fba78058d9f7f2e4abbdfb12</t>
  </si>
  <si>
    <t>Biometrics_x000D_
Computer vision_x000D_
Face recognition_x000D_
Large dataset_x000D_
Learning systems_x000D_
Attack detection_x000D_
Background information_x000D_
Biometric systems_x000D_
Comparatives studies_x000D_
Contextual cue_x000D_
Detection models_x000D_
Dynamic frame_x000D_
Frame selection_x000D_
Training frames_x000D_
Visual systems_x000D_
Crops</t>
  </si>
  <si>
    <t>Presentation attacks are recurrent threats to biometric systems, where impostors attempt to bypass these systems. Humans often use background information as contextual cues for their visual system. Yet, regarding face-based systems, the background is often discarded, since face presentation attack detection (PAD) models are mostly trained with face crops. This work presents a comparative study of face PAD models (including multi-task learning, adversarial training and dynamic frame selection) in two settings: with and without crops. The results show that the performance is consistently better when the background is present in the images. The proposed multi-task methodology beats the state-of-the-art results on the ROSE-Youtu dataset by a large margin with an equal error rate of 0.2%. Furthermore, we analyze the models' predictions with GradCAM++ with the aim to investigate to what extent the models focus on background elements that are known to be useful for human inspection. From this analysis we can conclude that the background cues are not relevant across all the attacks. Thus, showing the capability of the model to leverage the background information only when necessary. © 2022 IEEE.</t>
  </si>
  <si>
    <t>IEICE Transactions on Information and Systems</t>
  </si>
  <si>
    <t>Institute of Electronics Information Communication Engineers</t>
  </si>
  <si>
    <t>https://www.scopus.com/inward/record.uri?eid=2-s2.0-85137399639&amp;doi=10.1587%2ftransinf.2021EDP7205&amp;partnerID=40&amp;md5=901b7855f2116fd9197909747cc9b708</t>
  </si>
  <si>
    <t>Explainable Artificial Intelligence (XAI)_x000D_
explanation_x000D_
interpretability_x000D_
machine learning_x000D_
transparency</t>
  </si>
  <si>
    <t>In recent years, there has been an increasing trend of applying artificial intelligence in many different fields, which has a profound and direct impact on human life. Consequently, this raises the need to understand the principles of model making predictions. Since most current high-precision models are black boxes, neither the AI scientist nor the end-user profoundly understands what is happening inside these models. Therefore, many algorithms are studied to explain AI models, especially those in the image classification problem in computer vision such as LIME, CAM, GradCAM. However, these algorithms still have limitations, such as LIME’s long execution time and CAM’s confusing interpretation of concreteness and clarity. Therefore, in this paper, we will propose a new method called Segmentation - Class Activation Mapping (SeCAM)/ This method combines the advantages of these algorithms above while at simultaneously overcoming their disadvantages. We tested this algorithm with various models, including ResNet50, InceptionV3, and VGG16 from ImageNet Large Scale Visual Recognition Challenge (ILSVRC) data set. Outstanding results were achieved when the algorithm has met all the requirements for a specific explanation in a remarkably short space of time. © 2022 The Institute of Electronics.</t>
  </si>
  <si>
    <t>K. Niranjan; S. Shankar Kumar; S. Vedanth; S. Chitrakala</t>
  </si>
  <si>
    <t>https://www.scopus.com/inward/record.uri?eid=2-s2.0-85159212720&amp;doi=10.1016%2fj.procs.2023.01.168&amp;partnerID=40&amp;md5=607c34b7cc8a1f8d3f438f2b05f56b16</t>
  </si>
  <si>
    <t>10.1016/j.procs.2023.01.168</t>
  </si>
  <si>
    <t>Class Activavtion Mapping_x000D_
Convolutional Neural networks_x000D_
COVID-19_x000D_
Explainable AI_x000D_
Gradient weighted Class Activation Mapping (Grad-CAM)_x000D_
Guided Grad-CAM_x000D_
Segmentation_x000D_
Cams_x000D_
Classification (of information)_x000D_
Computer aided diagnosis_x000D_
Computerized tomography_x000D_
Convolution_x000D_
Decision support systems_x000D_
Mapping_x000D_
Polymerase chain reaction_x000D_
Activation mapping_x000D_
Classification system_x000D_
Convolutional neural network_x000D_
Gradient weighted class activation mapping_x000D_
Guided gradient weighted class activation mapping_x000D_
Segmentation system</t>
  </si>
  <si>
    <t>The coronavirus has caused havoc on billions of people worldwide. The Reverse Transcription Polymerase Chain Reaction(RT-PCR) test is widely accepted as a standard diagnostic tool for detecting infection, however, the severity of infection can't be measured accurately with RT-PCR results. Chest CT Scans of infected patients can manifest the presence of lesions with high sensitivity. During the pandemic, there is a dearth of competent doctors to examine chest CT images. Therefore, a Guided Gradcam based Explainable Classification and Segmentation system (GGECS) which is a real-time explainable classification and lesion identification decision support system is proposed in this work. The classification model used in the proposed GGECS system is inspired by Res2Net. Explainable AI techniques like GradCam and Guided GradCam are used to demystify Convolutional Neural Networks (CNNs). These explainable systems can assist in localizing the regions in the CT scan that contribute significantly to the system's prediction. The segmentation model can further reliably localize infected regions. The segmentation model is a fusion between the VGG-16 and the classification network. The proposed classification model in GGECS obtains an overall accuracy of 98.51 % and the segmentation model achieves an IoU score of 0.595. © 2023 The Authors. Published by Elsevier B.V.</t>
  </si>
  <si>
    <t>M. Noppel; C. Wressnegger</t>
  </si>
  <si>
    <t>CCS 2023 - Proceedings of the 2023 ACM SIGSAC Conference on Computer and Communications Security</t>
  </si>
  <si>
    <t>https://www.scopus.com/inward/record.uri?eid=2-s2.0-85179848367&amp;doi=10.1145%2f3576915.3624379&amp;partnerID=40&amp;md5=527b6470cfee044da638eb57b13490cd</t>
  </si>
  <si>
    <t>Pattern recognition_x000D_
Traffic signs_x000D_
Backdoors_x000D_
Decision-making process_x000D_
Machine learning models_x000D_
Modeling decision makings_x000D_
Modeling decisions_x000D_
Traffic sign recognition_x000D_
Decision making</t>
  </si>
  <si>
    <t>The overabundance of learnable parameters in recent machine-learning models renders them inscrutable. Even their developers can not explain their exact inner workings anymore. For this reason, researchers have developed explanation algorithms to shed light on a model's decision-making process. Explanations identify the deciding factors for a model's decision. Therefore, much hope is set in explanations to solve problems like biases, spurious correlations, and more prominently attacks like neural backdoors. In this paper, we present explanation-aware backdoors, which fool both, the model's decisions and the explanation algorithm in the presence of a trigger. Explanation-aware backdoors therefore can bypass explanation-based detection techniques and “throw a red herring” at the human analyst. While we have presented successful explanation-aware backdoors in our original work, “Disguising Attacks with Explanation-Aware Backdoors,” in this paper, we provide a brief overview and a focus on the dataset “German Traffic Sign Recognition Benchmark” (GTSRB). We evaluate a different trigger and target explanation compared to the original paper and present results for GradCAM explanations. Supplemental material is publicly available at https://intellisec.de/research/xai-backdoor. © 2023 Copyright held by the owner/author(s).</t>
  </si>
  <si>
    <t>https://www.scopus.com/inward/record.uri?eid=2-s2.0-85153959580&amp;doi=10.3390%2fs23084006&amp;partnerID=40&amp;md5=d18a80792efc2e69aa1b4cf4e16c4943</t>
  </si>
  <si>
    <t>biometrics_x000D_
deep learning_x000D_
explainability_x000D_
fingermark_x000D_
forensic_x000D_
latent fingerprint_x000D_
probabilistic interpretation_x000D_
quality assessment_x000D_
quality map_x000D_
Forensic science_x000D_
Forensic investigation_x000D_
Quality maps_x000D_
Quality value_x000D_
Probability distributions</t>
  </si>
  <si>
    <t>The assessment of fingermark (latent fingerprint) quality is an intrinsic part of a forensic investigation. The fingermark quality indicates the value and utility of the trace evidence recovered from the crime scene in the course of a forensic investigation; it determines how the evidence will be processed, and it correlates with the probability of finding a corresponding fingerprint in the reference dataset. The deposition of fingermarks on random surfaces occurs spontaneously in an uncontrolled fashion, which introduces imperfections to the resulting impression of the friction ridge pattern. In this work, we propose a new probabilistic framework for Automated Fingermark Quality Assessment (AFQA). We used modern deep learning techniques, which have the ability to extract patterns even from noisy data, and combined them with a methodology from the field of eXplainable AI (XAI) to make our models more transparent. Our solution first predicts a quality probability distribution, from which we then calculate the final quality value and, if needed, the uncertainty of the model. Additionally, we complemented the predicted quality value with a corresponding quality map. We used GradCAM to determine which regions of the fingermark had the largest effect on the overall quality prediction. We show that the resulting quality maps are highly correlated with the density of minutiae points in the input image. Our deep learning approach achieved high regression performance, while significantly improving the interpretability and transparency of the predictions. © 2023 by the authors.</t>
  </si>
  <si>
    <t>G. K. P; A. A. V. S; J. P. V; A. Paul; A. Nayyar</t>
  </si>
  <si>
    <t>https://www.scopus.com/inward/record.uri?eid=2-s2.0-85178463534&amp;doi=10.1007%2fs11042-023-17601-1&amp;partnerID=40&amp;md5=ff032697424ff3b8ab67107bc51c599c</t>
  </si>
  <si>
    <t>Deep learning_x000D_
Gated recurrent unit_x000D_
Information retrieval_x000D_
Multimedia analysis_x000D_
Multimodal sentiment analysis_x000D_
Sentiment analysis_x000D_
Convolutional neural networks_x000D_
Data handling_x000D_
Data mining_x000D_
Extraction_x000D_
Modal analysis_x000D_
Context-sensitive_x000D_
Learning frameworks_x000D_
Multi-media analysis_x000D_
Multi-modal_x000D_
Multi-tier_x000D_
Multimodal sentiment analyse</t>
  </si>
  <si>
    <t>One of the most appealing multidisciplinary research areas in Artificial Intelligence (AI) is Sentiment Analysis (SA). Due to the intricate and complementary interactions between several modalities, Multimodal Sentiment Analysis (MSA) is an extremely difficult work that has a wide range of applications. In the subject of multimodal sentiment analysis, numerous deep learning models and different techniques have been suggested, but they do not investigate the explicit context of words and are unable to model diverse components of a sentence. Hence, the full potential of such diverse data has not been explored. In this research, a Context-Sensitive Multi-Tier Deep Learning Framework (CS-MDF) is proposed for sentiment analysis on multimodal data. The CS-MDF uses a three-tier architecture for extracting context-sensitive information. The first tier utilizes Convolutional Neural Network (CNN) for extracting text-based features, 3D-CNN model for extracting visual features and open-Source Media Interpretation by Large feature-space Extraction (openSMILE) tool kit for audio feature extraction.The first tier focuses on extracting the unimodal features from the utterances. This level of extraction ignores context-sensitive data while determining the feature.CNNs are suitable for text data because they are particularly useful for identifying local patterns and dependencies in data.The second tier uses the features extracted from the first tier.The context-sensitive unimodal characteristics are extracted in this tier using the Bi-directional Gated Recurrent Unit (BiGRU), which is used to comprehend inter-utterance links and uncover contextual evidence.The output from tier two is combined and passed to the third tier, which fuses the features from different modalities and trains a single BiGRU model that provides the final classification.This method applies the BiGRU model to sequential data processing, using the advantages of both modalities and capturing their interdependencies.Experimental results obtained on six real-life datasets (Flickr Images dataset, Multi-View Sentiment Analysis dataset, Getty Images dataset, Balanced Twitter for Sentiment Analysis dataset, CMU-MOSI Dataset) show that the proposed CS-MDF model has achieved better performance compared with ten state-of-the-art approaches, which are validated by F1 score, precision, accuracy, and recall metrics.An ablation study is carried out on the proposed framework that demonstrates the viability of the design. The GradCAM visualization technique is applied to visualize the aligned input image-text pairs learned by the proposed CS-MDF model. © 2023, The Author(s), under exclusive licence to Springer Science+Business Media, LLC, part of Springer Nature.</t>
  </si>
  <si>
    <t>Big Data and Cognitive Computing</t>
  </si>
  <si>
    <t>https://www.scopus.com/inward/record.uri?eid=2-s2.0-85163676586&amp;doi=10.3390%2fbdcc7020111&amp;partnerID=40&amp;md5=222c89f2a67f890df498682defb81613</t>
  </si>
  <si>
    <t>deep learning_x000D_
GradCAM++_x000D_
model compression_x000D_
pruning_x000D_
SeNPIS_x000D_
trustworthy_x000D_
Cams_x000D_
Image classification_x000D_
Pixels_x000D_
Classification tasks_x000D_
CNN models_x000D_
Evaluation metrics_x000D_
Images classification_x000D_
Pruning methods</t>
  </si>
  <si>
    <t>One of the strategies adopted to compress CNN models for image classification tasks is pruning, where some elements, channels or filters of the network are discarded. Typically, pruning methods present results in terms of model performance before and after pruning (assessed by accuracy or a related parameter such as the F1-score), assuming that if the difference is less than a certain value (e.g., 2%), the pruned model is trustworthy. However, state-of-the-art models are not concerned with measuring the actual impact of pruning on the network by evaluating the pixels used by the model to make the decision, or the confidence of the class itself. Consequently, this paper presents a new metric, called the Pruning Efficiency score (PE-score), which allows us to identify whether a pruned model preserves the behavior (i.e., the extracted patterns) of the unpruned model, through visualization and interpretation with CAM-based methods. With the proposed metric, it will be possible to better compare pruning methods for CNN-based image classification models, as well as to verify whether the pruned model is efficient by focusing on the same patterns (pixels) as those of the original model, even if it has reduced the number of parameters and FLOPs. © 2023 by the authors.</t>
  </si>
  <si>
    <t>13188 LNCS</t>
  </si>
  <si>
    <t>AffectNet_x000D_
Facial expression recognition_x000D_
Human-in-the-loop_x000D_
Humans versus machines_x000D_
Cams_x000D_
Face recognition_x000D_
Alternative forced choice_x000D_
Extremal_x000D_
Human attention_x000D_
Human facial expressions_x000D_
Human performance_x000D_
Human versus machine_x000D_
Deep neural networks</t>
  </si>
  <si>
    <t>Facial expression recognition (FER) is a topic attracting significant research in both psychology and machine learning with a wide range of applications. Despite a wealth of research on human FER and considerable progress in computational FER made possible by deep neural networks (DNNs), comparatively less work has been done on comparing the degree to which DNNs may be comparable to human performance. In this work, we compared the recognition performance and attention patterns of humans and machines during a two-alternative forced-choice FER task. Human attention was here gathered through click data that progressively uncovered a face, whereas model attention was obtained using three different popular techniques from explainable AI: CAM, GradCAM and Extremal Perturbation. In both cases, performance was gathered as percent correct. For this task, we found that humans outperformed machines quite significantly. In terms of attention patterns, we found that Extremal Perturbation had the best overall fit with the human attention map during the task. © 2022, Springer Nature Switzerland AG.</t>
  </si>
  <si>
    <t>Data Augmentation_x000D_
Deep Learning_x000D_
GradCAM_x000D_
HighRes3DNet_x000D_
Landmark Detection_x000D_
Medical Image Analysis_x000D_
Computer vision_x000D_
Data visualization_x000D_
Image enhancement_x000D_
Medical imaging_x000D_
Volumetric analysis_x000D_
Activation mapping_x000D_
Gradient-weighted class activation mapping_x000D_
Learning models_x000D_
Localisation_x000D_
Medical fields_x000D_
Magnetic resonance imaging</t>
  </si>
  <si>
    <t>In the medical field, landmark detection in MRI plays an important role in reducing medical technician efforts in tasks like scan planning, image registration, etc. First, 88 landmarks spread across the brain anatomy in the three respective views-sagittal, coronal, and axial are manually annotated, later guidelines from the expert clinical technicians are taken subanatomy-wise, for better localization of the existing landmarks, in order to identify and locate the important atlas landmarks even in oblique scans. To overcome limited data availability, we implement realistic data augmentation to generate synthetic 3D volumetric data. We use a modified HighRes3DNet model for solving brain MRI volumetric landmark detection problem. In order to visually explain our trained model on unseen data, and discern a stronger model from a weaker model, we implement Gradient-weighted Class Activation Mapping (GradCAM) which produces a coarse localization map highlighting the regions the model is focusing. Our experiments show that the proposed method shows favorable results, and the overall pipeline can be extended to a variable number of landmarks and other anatomies. © 2021 IEEE.</t>
  </si>
  <si>
    <t>E. Prakash; A. Shrikumar; A. Kundaje</t>
  </si>
  <si>
    <t>Towards More Realistic Simulated Datasets for Benchmarking Deep Learning Models in Regulatory Genomics</t>
  </si>
  <si>
    <t>58-77</t>
  </si>
  <si>
    <t>https://www.scopus.com/inward/record.uri?eid=2-s2.0-85159072769&amp;partnerID=40&amp;md5=f543f56502598a528d845ff81afc40c3</t>
  </si>
  <si>
    <t>Deep neural networks_x000D_
DNA_x000D_
Genes_x000D_
Genome_x000D_
Learning systems_x000D_
Pipelines_x000D_
Support vector machines_x000D_
Genomic data_x000D_
Ground truth_x000D_
In-silico_x000D_
Interpretation methods_x000D_
Learn+_x000D_
Learning models_x000D_
Neural network and support vector machines_x000D_
Regulatory genomics_x000D_
Sequence features_x000D_
Simulated datasets_x000D_
DNA sequences</t>
  </si>
  <si>
    <t>Deep neural networks and support vector machines have been shown to accurately predict genome-wide signals of regulatory activity from raw DNA sequences. These models are appealing in part because they can learn predictive DNA sequence features without prior assumptions. Several methods such as in-silico mutagenesis, GradCAM, DeepLIFT, Integrated Gradients and GkmExplain have been developed to reveal these learned features. However, the behavior of these methods on regulatory genomic data remains an area of active research. Although prior work has benchmarked these methods on simulated datasets with known ground-truth motifs, these simulations employed highly simplified regulatory logic that is not representative of the genome. In this work, we propose a novel pipeline for designing simulated data that comes closer to modeling the complexity of regulatory genomic DNA. We apply the pipeline to build simulated datasets based on publicly-available chromatin accessibility experiments and use these datasets to benchmark different interpretation methods based on their ability to identify ground-truth motifs. We find that a GradCAM-based method, which was reported to perform well on a more simplified dataset, does not do well on this dataset (particularly when using an architecture with shorter convolutional kernels in the first layer), and we theoretically show that this is expected based on the nature of regulatory genomic data. We also show that Integrated Gradients sometimes performs worse than gradient-times-input, likely owing to its linear interpolation path. We additionally explore the impact of user-defined settings on the interpretation methods, such as the choice of “reference”/“baseline”, and identify recommended settings for genomics. Our analysis suggests several promising directions for future research on these model interpretation methods. Code and links to data are available at https://github.com/kundajelab/interpret-benchmark. © 2021 Proceedings of Machine Learning Research. All rights reserved.</t>
  </si>
  <si>
    <t>https://www.scopus.com/inward/record.uri?eid=2-s2.0-85126345096&amp;doi=10.1007%2fs11063-022-10785-x&amp;partnerID=40&amp;md5=878d3dca6f2b661d59d548d079ace86e</t>
  </si>
  <si>
    <t>Coronavirus_x000D_
COVID-19_x000D_
CT images_x000D_
Deep learning_x000D_
Segmentation_x000D_
Computerized tomography_x000D_
Diagnosis_x000D_
Medical imaging_x000D_
Semantic Segmentation_x000D_
Semantics_x000D_
Computed tomography images_x000D_
Coronaviruses_x000D_
Hierarchical segmentation_x000D_
Learning approach_x000D_
Loss of life_x000D_
Net model_x000D_
Time-consuming tasks_x000D_
Visual representations</t>
  </si>
  <si>
    <t>The pandemic of novel severe acute respiratory syndrome coronavirus 2 (SARS-CoV-2) also known as COVID-19 has been spreading worldwide, causing rampant loss of lives. Medical imaging such as computed tomography (CT), X-ray, etc., plays a significant role in diagnosing the patients by presenting the visual representation of the functioning of the organs. However, for any radiologist analyzing such scans is a tedious and time-consuming task. The emerging deep learning technologies have displayed its strength in analyzing such scans to aid in the faster diagnosis of the diseases and viruses such as COVID-19. In the present article, an automated deep learning based model, COVID-19 hierarchical segmentation network (CHS-Net) is proposed that functions as a semantic hierarchical segmenter to identify the COVID-19 infected regions from lungs contour via CT medical imaging using two cascaded residual attention inception U-Net (RAIU-Net) models. RAIU-Net comprises of a residual inception U-Net model with spectral spatial and depth attention network (SSD) that is developed with the contraction and expansion phases of depthwise separable convolutions and hybrid pooling (max and spectral pooling) to efficiently encode and decode the semantic and varying resolution information. The CHS-Net is trained with the segmentation loss function that is the defined as the average of binary cross entropy loss and dice loss to penalize false negative and false positive predictions. The approach is compared with the recently proposed approaches and evaluated using the standard metrics like accuracy, precision, specificity, recall, dice coefficient and Jaccard similarity along with the visualized interpretation of the model prediction with GradCam++ and uncertainty maps. With extensive trials, it is observed that the proposed approach outperformed the recently proposed approaches and effectively segments the COVID-19 infected regions in the lungs. © 2022, The Author(s), under exclusive licence to Springer Science+Business Media, LLC, part of Springer Nature.</t>
  </si>
  <si>
    <t>Category-Independent Visual Explanation for Medical Deep Network Understanding</t>
  </si>
  <si>
    <t>14221 LNCS</t>
  </si>
  <si>
    <t>https://www.scopus.com/inward/record.uri?eid=2-s2.0-85174702307&amp;doi=10.1007%2f978-3-031-43895-0_17&amp;partnerID=40&amp;md5=3f4ac60da041fc49a13f3848476a8636</t>
  </si>
  <si>
    <t>Chemical activation_x000D_
Decision making_x000D_
Deep learning_x000D_
Diagnosis_x000D_
Image segmentation_x000D_
Inference engines_x000D_
Learning systems_x000D_
Medical imaging_x000D_
Activation functions_x000D_
AI systems_x000D_
Decision-making process_x000D_
Heatmaps_x000D_
Hessian matrices_x000D_
Learning models_x000D_
Region-of-interest_x000D_
Regions of interest_x000D_
Second-order derivative_x000D_
Visualization method_x000D_
Medical applications</t>
  </si>
  <si>
    <t>Visual explanations have the potential to improve our understanding of deep learning models and their decision-making process, which is critical for building transparent, reliable, and trustworthy AI systems. However, existing visualization methods have limitations, including their reliance on categorical labels to identify regions of interest, which may be inaccessible during model deployment and lead to incorrect diagnoses if an incorrect label is provided. To address this issue, we propose a novel category-independent visual explanation method called Hessian-CIAM. Our algorithm uses the Hessian matrix, which is the second-order derivative of the activation function, to weigh the activation weight in the last convolutional layer and generate a region of interest heatmap at inference time. We then apply an SVD-based post-process to create a smoothed version of the heatmap. By doing so, our algorithm eliminates the need for categorical labels and modifications to the deep learning model. To evaluate the effectiveness of our proposed method, we compared it to seven state-of-the-art algorithms using the Chestx-ray8 dataset. Our approach achieved a 55% higher IoU measurement than classical GradCAM and a 17% higher IoU measurement than EigenCAM. Moreover, our algorithm obtained a Judd AUC score of 0.70 on the glaucoma retinal image database, demonstrating its potential applicability in various medical applications. In summary, our category-independent visual explanation method, Hessian-CIAM, generates high-quality region of interest heatmaps that are not dependent on categorical labels, making it a promising tool for improving our understanding of deep learning models and their decision-making process, particularly in medical applications. © The Author(s), under exclusive license to Springer Nature Switzerland AG 2023.</t>
  </si>
  <si>
    <t>Is Visual Explanation with Grad-CAM More Reliable for Deeper Neural Networks? A Case Study with Automatic Pneumothorax Diagnosis</t>
  </si>
  <si>
    <t>14349 LNCS</t>
  </si>
  <si>
    <t>https://www.scopus.com/inward/record.uri?eid=2-s2.0-85175985733&amp;doi=10.1007%2f978-3-031-45676-3_23&amp;partnerID=40&amp;md5=1cc61b4c95be902736ae8bfd35a934a6</t>
  </si>
  <si>
    <t>Deep learning_x000D_
Grad-CAM_x000D_
Interpretability_x000D_
Cams_x000D_
Computer aided diagnosis_x000D_
Computer aided instruction_x000D_
Decision making_x000D_
Learning systems_x000D_
Activation mapping_x000D_
Case-studies_x000D_
Clinical tasks_x000D_
Decision-making process_x000D_
Gradient-weighted class activation mapping_x000D_
Learning models_x000D_
Learning techniques_x000D_
State-of-the-art performance_x000D_
Network architecture</t>
  </si>
  <si>
    <t>While deep learning techniques have provided the state-of-the-art performance in various clinical tasks, explainability regarding their decision-making process can greatly enhance the credence of these methods for safer and quicker clinical adoption. With high flexibility, Gradient-weighted Class Activation Mapping (Grad-CAM) has been widely adopted to offer intuitive visual interpretation of various deep learning models’ reasoning processes in computer-assisted diagnosis. However, despite the popularity of the technique, there is still a lack of systematic study on Grad-CAM’s performance on different deep learning architectures. In this study, we investigate its robustness and effectiveness across different popular deep learning models, with a focus on the impact of the networks’ depths and architecture types, by using a case study of automatic pneumothorax diagnosis in X-ray scans. Our results show that deeper neural networks do not necessarily contribute to a strong improvement of pneumothorax diagnosis accuracy, and the effectiveness of GradCAM also varies among different network architectures. © 2024, The Author(s), under exclusive license to Springer Nature Switzerland AG.</t>
  </si>
  <si>
    <t>2022 4th International Conference on Sustainable Technologies for Industry 4.0, STI 2022</t>
  </si>
  <si>
    <t>https://www.scopus.com/inward/record.uri?eid=2-s2.0-85159094452&amp;doi=10.1109%2fSTI56238.2022.10103297&amp;partnerID=40&amp;md5=2620acf69008d716f66965dfee49a3aa</t>
  </si>
  <si>
    <t>Albumentation_x000D_
Augmentation_x000D_
CNN_x000D_
Cross Entropy_x000D_
EfficientNet_x000D_
Focal Loss_x000D_
GradCAM_x000D_
Image Hashing_x000D_
X-AI_x000D_
Climate change_x000D_
Convolutional neural networks_x000D_
Cost effectiveness_x000D_
Image enhancement_x000D_
Population statistics_x000D_
Statistical tests_x000D_
Waste management_x000D_
Learning architectures_x000D_
Waste classification_x000D_
Deep learning</t>
  </si>
  <si>
    <t>Population growth is exploding exponentially in this current world. Due to this escalating population and urbanization, the overall amount of waste is experiencing a rapid growth worldwide. Consequently, plenty of waste contributes to climate change, affecting our ecosystems and species. Fortunately, trash management would help alleviate some of these effects since a large quantity of trash is highly biodegradable and recyclable. However, classifying waste manually based on its contents is highly expensive and time-consuming. This is why the classification of wastes based on their contents is a critical criterion for ensuring cost-effective performance throughout recycling procedures. This paper proposes a hybrid deep-learning framework to classify waste into four categories: paper, glass, plastic, and organic. To address the lack of sufficient data, we used the albumentation function to augment the data. Later, in order to remove any duplicates that might have existed in the updated dataset, we also applied an image hashing technique that tackles the problem of overfitting. After preprocessing, we integrate three different models (2 EfficientNet models with noisy-student and imagenet and a custom convolutional neural network model) and provide prediction, and a heatmap of the eXplainable Artificial Intelligence (X-AI) generated images based on the test dataset to improve the trustworthiness of the inference. In comparison to various earlier state-of-the-art studies in the area of waste management, our technique performed substantially better, scoring at around 97% accuracy. © 2022 IEEE.</t>
  </si>
  <si>
    <t>ACM Transactions on Asian and Low-Resource Language Information Processing</t>
  </si>
  <si>
    <t>https://www.scopus.com/inward/record.uri?eid=2-s2.0-85145773955&amp;doi=10.1145%2f3530989&amp;partnerID=40&amp;md5=0cd39d1b4e4efed51e3dcc7a65fb7236</t>
  </si>
  <si>
    <t>bidirectional LSTM_x000D_
convolutional neural network_x000D_
gesture recognition_x000D_
Indian sign language_x000D_
Isolated sign language recognition_x000D_
Audition_x000D_
Benchmarking_x000D_
Convolutional neural networks_x000D_
Deep neural networks_x000D_
Dynamics_x000D_
Extraction_x000D_
Feature extraction_x000D_
Long short-term memory_x000D_
Network architecture_x000D_
Palmprint recognition_x000D_
Semantics_x000D_
Features detections_x000D_
Features extraction_x000D_
Gestures recognition_x000D_
Indian sign languages_x000D_
Sign language_x000D_
Sign Language recognition_x000D_
Statics and dynamics_x000D_
Convolution</t>
  </si>
  <si>
    <t>The Sign Language Recognition system intends to recognize the Sign language used by the hearing and vocally impaired populace. The interpretation of isolated sign language from static and dynamic gestures is a difficult study field in machine vision. Managing quick hand movement, facial expression, illumination variations, signer variation, and background complexity are amongst the most serious challenges in this arena. While deep learning-based models have been used to accomplish the entirety of the field's state-of-the-art outcomes, the previous issues have not been fully addressed. To overcome these issues, we propose a Hybrid Neural Network Architecture for the recognition of Isolated Indian and Russian Sign Language. In the case of static gesture recognition, the proposed framework deals with the 3D Convolution Net with an atrous convolution mechanism for spatial feature extraction. For dynamic gesture recognition, the proposed framework is an integration of semantic spatial multi-cue feature detection, extraction, and Temporal-Sequential feature extraction. The semantic spatial multi-cue feature detection and extraction module help in the generation of feature maps for Full-frame, pose, face, and hand. For face and hand detection, GradCam and Camshift algorithm have been used. The temporal and sequential module consists of a modified auto-encoder with a GELU activation function for abstract high-level feature extraction and a hybrid attention layer. The hybrid attention layer is an integration of segmentation and spatial attention mechanism. The proposed work also involves creating a novel multi-signer, single, and double-handed Isolated Sign representation dataset for Indian and Russian Sign Language. The experimentation was done on the novel dataset created. The accuracy obtained for Static Isolated Sign Recognition was 99.76%, and the accuracy obtained for Dynamic Isolated Sign Recognition was 99.85%. We have also compared the performance of our proposed work with other baseline models with benchmark datasets, and our proposed work proved to have better performance in terms of Accuracy metrics. © 2022 Association for Computing Machinery.</t>
  </si>
  <si>
    <t>M. S. N. Raju; B. S. Rao</t>
  </si>
  <si>
    <t>Classification of Colon and Lung Cancer through Analysis of Histopathology Images Using Deep Learning Models</t>
  </si>
  <si>
    <t>Ingenierie des Systemes d'Information</t>
  </si>
  <si>
    <t>967-971</t>
  </si>
  <si>
    <t>International Information and Engineering Technology Association</t>
  </si>
  <si>
    <t>https://www.scopus.com/inward/record.uri?eid=2-s2.0-85151418271&amp;doi=10.18280%2fisi.270613&amp;partnerID=40&amp;md5=9863f22b8712189011ab407cd757d939</t>
  </si>
  <si>
    <t>10.18280/isi.270613</t>
  </si>
  <si>
    <t>deep learning models_x000D_
histopathology images_x000D_
image processing techniques_x000D_
visualization techniques</t>
  </si>
  <si>
    <t>In the last four decades, medicine and healthcare have made revolutionary advances. During this time, the true causes of many diseases were discovered and new diagnostic procedures were devised and new remedies were invented. Globally, cancer is one of the serious diseases, which has become a widespread medical issue. A credible and early finding is especially important to reduce the risk of death. In any way, it is a difficult task that relies on the expertise of histopathologists. If a histologist is unprepared, a patient’s life may be put in danger. Deep learning has gotten a lot of attention recently and is being used in medical imaging analysis. Artificial Intelligence (AI) can be used to automate cancer detection. To better classify and for quality improvement of histopathology images, visualization techniques GradCam and SmoothGard are applied. This objective can be achieved by evaluating histopathological images of five types of colon and lung tissues using MobileNetV2 and InceptionResnetV2 models. These proposed models have accurately identified cancer tissues to a maximum of 99.95%. These models will assist medical professionals in the advancement of an automated and authentic system for detecting different types of colon and lung cancers. © 2022 International Information and Engineering Technology Association. All rights reserved.</t>
  </si>
  <si>
    <t>Applied Intelligence</t>
  </si>
  <si>
    <t>https://www.scopus.com/inward/record.uri?eid=2-s2.0-85161673517&amp;doi=10.1007%2fs10489-023-04592-7&amp;partnerID=40&amp;md5=8d271871ac4eb6ef561f422220cf7f5e</t>
  </si>
  <si>
    <t>Adversarial perturbation_x000D_
Convolutional neural networks_x000D_
Social media_x000D_
Visual explanation techniques_x000D_
Machine learning_x000D_
Social networking (online)_x000D_
Social sciences computing_x000D_
Computerized systems_x000D_
Convolutional neural network_x000D_
Facebook_x000D_
Machine learning algorithms_x000D_
Personal information_x000D_
Privacy protection_x000D_
Social-networking_x000D_
Visual explanation technique_x000D_
Gradient methods</t>
  </si>
  <si>
    <t>Our generation is quite obsessed with technology and we like to share our personal information such as photos and videos on the internet via different social networking websites i.e. Facebook, Snapchat, Instagram, etc. Therefore, it becomes easier for others to breach our privacy and harm us in a direct or indirect way. Now, computerized systems have advanced due to the improvements in Machine Learning (ML) algorithms and Artificial Intelligence (AI). These algorithms can extract sensitive information such as face attributes, text information, etc. from images or videos and can be used for privacy breaching. In this paper, we propose a novel privacy protection method by adding intelligent noise to the image while preserving image aesthetics and attributes. We determine multiple attributes for an image such as baldness, smiling, gender, etc. and we intelligently add noise to particular regions of the image that define a particular attribute using the visual explanation technique i.e. GradCam++, thereby preserving the other attributes. The addition of noise is based on the idea of Fast Gradient Sign Method (FGSM) that maximizes the gradients of the loss of an input image to create a new adversarial image. We integrate FGSM adversarial image and GradCam++ output to affect particular attributes only and hence keeping the image human imperceptible. The experiment results show that our attack outperforms the existing attacks including naive FGSM, Projected Gradient Descent (PGD), Momentum Iterative Method (MIM), Shadow Attack (SA), and Fast Minimum Norm (FMN) in terms of preserving attributes and image visual quality, when evaluated on CelebA dataset. © 2023, The Author(s), under exclusive licence to Springer Science+Business Media, LLC, part of Springer Nature.</t>
  </si>
  <si>
    <t>How You Split Matters: Data Leakage and Subject Characteristics Studies in Longitudinal Brain MRI Analysis</t>
  </si>
  <si>
    <t>14242 LNCS</t>
  </si>
  <si>
    <t>https://www.scopus.com/inward/record.uri?eid=2-s2.0-85175851349&amp;doi=10.1007%2f978-3-031-45249-9_23&amp;partnerID=40&amp;md5=e273b1b7bfe2385783696f127e924975</t>
  </si>
  <si>
    <t>Alzheimer’s Disease_x000D_
Data Leakage_x000D_
Deep Learning_x000D_
MRI_x000D_
Convolutional neural networks_x000D_
Diagnosis_x000D_
Image analysis_x000D_
Image enhancement_x000D_
Learning systems_x000D_
Medical imaging_x000D_
Reliability analysis_x000D_
Alzheimer_x000D_
Brain MRI_x000D_
Convolutional neural network_x000D_
Data splitting_x000D_
Learning models_x000D_
Medical image analysis_x000D_
MRI-analysis_x000D_
Magnetic resonance imaging</t>
  </si>
  <si>
    <t>Deep learning models have revolutionized the field of medical image analysis, offering significant promise for improved diagnostics and patient care. However, their performance can be misleadingly optimistic due to a hidden pitfall called ‘data leakage’. In this study, we investigate data leakage in 3D medical imaging, specifically using 3D Convolutional Neural Networks (CNNs) for brain MRI analysis. While 3D CNNs appear less prone to leakage than 2D counterparts, improper data splitting during cross-validation (CV) can still pose issues, especially with longitudinal imaging data containing repeated scans from the same subject. We explore the impact of different data splitting strategies on model performance for longitudinal brain MRI analysis and identify potential data leakage concerns. GradCAM visualization helps reveal shortcuts in CNN models caused by identity confounding, where the model learns to identify subjects along with diagnostic features. Our findings, consistent with prior research, underscore the importance of subject-wise splitting and evaluating our model further on hold-out data from different subjects to ensure the integrity and reliability of deep learning models in medical image analysis. © The Author(s), under exclusive license to Springer Nature Switzerland AG 2023.</t>
  </si>
  <si>
    <t>Pixel-Level Explanation of Multiple Instance Learning Models in Biomedical Single Cell Images</t>
  </si>
  <si>
    <t>13939 LNCS</t>
  </si>
  <si>
    <t>https://www.scopus.com/inward/record.uri?eid=2-s2.0-85163954275&amp;doi=10.1007%2f978-3-031-34048-2_14&amp;partnerID=40&amp;md5=c7934a74da9427ea4d59fff5427e9d76</t>
  </si>
  <si>
    <t>Blood cancer cytology_x000D_
Multiple instance learning_x000D_
Pixel-level explainability_x000D_
Blood_x000D_
Computer aided diagnosis_x000D_
Computer aided instruction_x000D_
Diseases_x000D_
Learning systems_x000D_
Pixels_x000D_
Blood cancer_x000D_
Cell images_x000D_
Clinical decision making_x000D_
Computer aided diagnosis systems_x000D_
Learning models_x000D_
Multiple-instance learning_x000D_
Pixel level_x000D_
Single cells_x000D_
Decision making</t>
  </si>
  <si>
    <t>Explainability is a key requirement for computer-aided diagnosis systems in clinical decision-making. Multiple instance learning with attention pooling provides instance-level explainability, however for many clinical applications a deeper, pixel-level explanation is desirable, but missing so far. In this work, we investigate the use of four attribution methods to explain a multiple instance learning models: GradCAM, Layer-Wise Relevance Propagation (LRP), Information Bottleneck Attribution (IBA), and InputIBA. With this collection of methods, we can derive pixel-level explanations on for the task of diagnosing blood cancer from patients’ blood smears. We study two datasets of acute myeloid leukemia with over 100 000 single cell images and observe how each attribution method performs on the multiple instance learning architecture focusing on different properties of the white blood single cells. Additionally, we compare attribution maps with the annotations of a medical expert to see how the model’s decision-making differs from the human standard. Our study addresses the challenge of implementing pixel-level explainability in multiple instance learning models and provides insights for clinicians to better understand and trust decisions from computer-aided diagnosis systems. © 2023, The Author(s), under exclusive license to Springer Nature Switzerland AG.</t>
  </si>
  <si>
    <t>COVID-19 Identification in CLAHE Enhanced CT scans with class imbalance using ensembled ResNets</t>
  </si>
  <si>
    <t>2021 IEEE International IOT, Electronics and Mechatronics Conference, IEMTRONICS 2021 - Proceedings</t>
  </si>
  <si>
    <t>https://www.scopus.com/inward/record.uri?eid=2-s2.0-85106732528&amp;doi=10.1109%2fIEMTRONICS52119.2021.9422556&amp;partnerID=40&amp;md5=0f40b130581405e1c3e6e49e0b4cb2e1</t>
  </si>
  <si>
    <t>Chest CT-scans_x000D_
COVID-19 detection_x000D_
Ensemble ResNets_x000D_
Imbalanced Data_x000D_
Medical imaging_x000D_
Neural networks_x000D_
Chest CT scans_x000D_
Class imbalance_x000D_
Clinical features_x000D_
Ensemble neural network_x000D_
Image features_x000D_
Imbalanced Data-sets_x000D_
Low contrast image_x000D_
Overall accuracies_x000D_
Computerized tomography</t>
  </si>
  <si>
    <t>The occurrence of imbalanced datasets in medical imaging has proven to be a challenge for the development of models to analyze and evaluate the underlying condition. In this paper, the bias of the chest CT scan dataset is handled by taking discrete splits and employing ResNets to detect COVID-19 in each split. The scraped images were pre-processed using CLAHE histogram for comparison with low contrast images. Multiple ResNets were extended to form an ensemble neural network model using ANNs which handles the class imbalance. The system has an overall accuracy of 87.23% and the performance is assessed for each class. The image features identified are visualized using the GradCAM algorithm and some of the commonly found clinical features in the CT scan images of the patients suffering from this disease are summarized for better understanding the working of the model. © 2021 IEEE.</t>
  </si>
  <si>
    <t>Donut: Augmentation Technique for Enhancing the Efficacy of Glaucoma Suspect Screening</t>
  </si>
  <si>
    <t>https://www.scopus.com/inward/record.uri?eid=2-s2.0-85179645920&amp;doi=10.1109%2fEMBC40787.2023.10341115&amp;partnerID=40&amp;md5=b59bb1fc40aefa65462ed239475049e3</t>
  </si>
  <si>
    <t>Diagnostic Techniques, Ophthalmological_x000D_
Glaucoma_x000D_
Humans_x000D_
Mass Screening_x000D_
Optic Disk_x000D_
Sensitivity and Specificity_x000D_
Image enhancement_x000D_
Ophthalmology_x000D_
Augmentation techniques_x000D_
Fundus image_x000D_
Heatmaps_x000D_
High quality_x000D_
Image focus_x000D_
Optic nerve head_x000D_
Risk factors_x000D_
Training model_x000D_
diagnostic imaging_x000D_
human_x000D_
visual system examination_x000D_
Eye protection</t>
  </si>
  <si>
    <t>Glaucoma is the second most common cause of blindness. A glaucoma suspect has risk factors that increase the possibility of developing glaucoma. Evaluating a patient with suspected glaucoma is challenging. The donut method"was developed in this study as an augmentation technique for obtaining high-quality fundus images for training ConvNeXt-Small model. Fundus images from GlauCUTU-DATA, labelled by randomizing at least 3 well-trained ophthalmologists (4 well-trained ophthalmologists in case of no majority agreement) with a unanimous agreement (3/3) and majority agreement (2/3), were used in the experiment. The experimental results from the proposed method showed the training model with the "donut method"increased the sensitivity of glaucoma suspects from 52.94% to 70.59% for the 3/3 data and increased the sensitivity of glaucoma suspects from 37.78% to 42.22% for the 2/3 data. This method enhanced the efficacy of classifying glaucoma suspects in both equalizing sensitivity and specificity sufficiently. Furthermore, three well-trained ophthalmologists agreed that the GradCAM++ heatmaps obtained from the training model using the proposed method highlighted the clinical criteria.Clinical relevance- The donut method for augmentation fundus images focuses on the optic nerve head region for enhancing efficacy of glaucoma suspect screening, and uses Grad-CAM++ to highlight the clinical criteria. © 2023 IEEE."</t>
  </si>
  <si>
    <t>F. A. O. Santos; C. Zanchettin; J. V. S. Silva; L. N. Matos; P. Novais</t>
  </si>
  <si>
    <t>A Hybrid Post Hoc Interpretability Approach for Deep Neural Networks</t>
  </si>
  <si>
    <t>12886 LNAI</t>
  </si>
  <si>
    <t>600-610</t>
  </si>
  <si>
    <t>https://www.scopus.com/inward/record.uri?eid=2-s2.0-85115830341&amp;doi=10.1007%2f978-3-030-86271-8_50&amp;partnerID=40&amp;md5=6e7c47b3eadabce813724c4670096ee7</t>
  </si>
  <si>
    <t>10.1007/978-3-030-86271-8_50</t>
  </si>
  <si>
    <t>Deep learning_x000D_
Fairness_x000D_
Interpretability_x000D_
Optimization_x000D_
Backpropagation_x000D_
Deep neural networks_x000D_
Iterative methods_x000D_
Essential features_x000D_
Gradient layers_x000D_
Learning models_x000D_
Model interpretations_x000D_
Modeling decisions_x000D_
Optimisations_x000D_
State of the art</t>
  </si>
  <si>
    <t>Every day researchers publish works with state-of-the-art results using deep learning models, however as these models become common even in production, ensuring fairness is a main concern of the deep learning models. One way to analyze the model fairness is based on the model interpretability, obtaining the essential features to the model decision. There are many interpretability methods to produce the deep learning model interpretation, such as Saliency, GradCam, Integrated Gradients, Layer-wise relevance propagation, and others. Although those methods make the feature importance map, different methods have different interpretations, and their evaluation relies on qualitative analysis. In this work, we propose the Iterative post hoc attribution approach, which consists of seeing the interpretability problem as an optimization view guided by two objective definitions of what our solution considers important. We solve the optimization problem with a hybrid approach considering the optimization algorithm and the deep neural network model. The obtained results show that our approach can select the features essential to the model prediction more accurately than the traditional interpretability methods. © 2021, Springer Nature Switzerland AG.</t>
  </si>
  <si>
    <t>International Conference on Agents and Artificial Intelligence</t>
  </si>
  <si>
    <t>https://www.scopus.com/inward/record.uri?eid=2-s2.0-85182561681&amp;doi=10.5220%2f0010768300003116&amp;partnerID=40&amp;md5=cd76f4c889a7d3dedb6eb6ee7035e84c</t>
  </si>
  <si>
    <t>Artificial Intelligence_x000D_
Deception_x000D_
Detection_x000D_
Explainability</t>
  </si>
  <si>
    <t>Artificial intelligence (AI) comes with great opportunities but can also pose significant risks. Automatically generated explanations for decisions can increase transparency and foster trust, especially for systems based on automated predictions by AI models. However, given, e.g., economic incentives to create dishonest AI, to what extent can we trust explanations? To address this issue, our work investigates how AI models (i.e., deep learning, and existing instruments to increase transparency regarding AI decisions) can be used to create and detect deceptive explanations. As an empirical evaluation, we focus on text classification and alter the explanations generated by GradCAM, a well-established explanation technique in neural networks. Then, we evaluate the effect of deceptive explanations on users in an experiment with 200 participants. Our findings confirm that deceptive explanations can indeed fool humans. However, one can deploy machine learning (ML) methods to detect seemingly minor deception attempts with accuracy exceeding 80% given sufficient domain knowledge. Without domain knowledge, one can still infer inconsistencies in the explanations in an unsupervised manner, given basic knowledge of the predictive model under scrutiny. © 2021 by SCITEPRESS – Science and Technology Publications, Lda. All rights reserved.</t>
  </si>
  <si>
    <t>Deceptive XAI: Typology, Creation and Detection</t>
  </si>
  <si>
    <t>https://www.scopus.com/inward/record.uri?eid=2-s2.0-85182407031&amp;doi=10.1007%2fs42979-023-02401-z&amp;partnerID=40&amp;md5=8740a1f99394c088439a2f7256e09ee0</t>
  </si>
  <si>
    <t>10.1007/s42979-023-02401-z</t>
  </si>
  <si>
    <t>Artificial intelligence_x000D_
Deception_x000D_
Detection_x000D_
Explainability_x000D_
Typology</t>
  </si>
  <si>
    <t>Providing rationales for decisions can enhance transparency and cultivate trust. Nevertheless, in light of economic incentives and other factors that may encourage manipulation, the reliability of such explanations comes into question. This manuscript builds upon a previous conference paper ∗ by introducing a conceptual framework for deceptive explanations and constructing a typology grounded in interdisciplinary literature. The focus of our work is on how AI models can generate and detect deceptive explanations. In our empirical evaluation, we focus on text classification and introduce modifications to the explanations generated by GradCAM, a well-established method for explaining neural networks. Through a user study comprising 200 participants, we demonstrate that these deceptive explanations have the potential to mislead individuals. However, we also demonstrate that machine learning (ML) techniques can discern even subtle deceptive tactics with an accuracy exceeding 80%, given sufficient domain expertise. Furthermore, even in the absence of domain knowledge, unsupervised learning can be employed to identify inconsistencies in the explanations, provided that fundamental information about the underlying predictive model is accessible. © 2023, The Author(s).</t>
  </si>
  <si>
    <t>Convolutional neural networks_x000D_
Data augmentation_x000D_
Deep learning_x000D_
Explainability_x000D_
GradCAM_x000D_
Reflective thinking_x000D_
Classification (of information)_x000D_
Convolution_x000D_
Image enhancement_x000D_
Network architecture_x000D_
Classifier performance_x000D_
Convolutional neural network_x000D_
Labeled data_x000D_
Learn+_x000D_
Self reflection</t>
  </si>
  <si>
    <t>We examine whether data generated by explanation techniques, which promote a process of self-reflection, can improve classifier performance. Our work is based on the idea that humans have the ability to make quick, intuitive decisions as well as to reflect on their own thinking and learn from explanations. To the best of our knowledge, this is the first time that the potential of mimicking this process by using explanations generated by explainability methods has been explored. We found that combining explanations with traditional labeled data leads to significant improvements in classification accuracy and training efficiency across multiple image classification datasets and convolutional neural network architectures. It is worth noting that during training, we not only used explanations for the correct or predicted class, but also for other classes. This serves multiple purposes, including allowing for reflection on potential outcomes and enriching the data through augmentation. © 2023, The Author(s).</t>
  </si>
  <si>
    <t>CAM fostering_x000D_
GradCAM_x000D_
Interpretability_x000D_
Cams_x000D_
Machine learning_x000D_
Safety engineering_x000D_
AI applications_x000D_
Back-bone network_x000D_
Classification networks_x000D_
Deep classifications_x000D_
Large datasets_x000D_
Second-order derivative_x000D_
Training parameters_x000D_
Large dataset</t>
  </si>
  <si>
    <t>Deep classification networks play an important role as backbone networks in industrial AI applications. These applications are often cost or safety critical; explainability of the AI results is a highly demanded feature. We introduce CAM fostering, a method to improve the explainability of classification nets based on local layers such as convolutional or pooling layers. Several CAM interpretability measures are defined and used as additional loss terms. Even though the method requires second-order derivatives, it is demonstrated that deep nets can be trained on large datasets without frozen parameters. The training parameters can be chosen such that the accuracy degradation remains decent in favor of the CAM interpretability improvement. We conclude by comparing the results of different training parameter configurations. © 2022 The Authors. Published by Elsevier B.V.</t>
  </si>
  <si>
    <t>G. K. Sharma; P. Harjule; B. Agarwal; R. Kumar</t>
  </si>
  <si>
    <t>Silicosis Detection Using Extended Transfer Learning Model</t>
  </si>
  <si>
    <t>2027 CCIS</t>
  </si>
  <si>
    <t>111-126</t>
  </si>
  <si>
    <t>https://www.scopus.com/inward/record.uri?eid=2-s2.0-85184800654&amp;doi=10.1007%2f978-3-031-53085-2_10&amp;partnerID=40&amp;md5=db9971f539121341cbfd8e1ffc884b4a</t>
  </si>
  <si>
    <t>10.1007/978-3-031-53085-2_10</t>
  </si>
  <si>
    <t>Convolutional Neural Networks_x000D_
GradCam_x000D_
ResNet_x000D_
Silicosis Detection_x000D_
Transfer Learning_x000D_
X-rays_x000D_
Computer aided diagnosis_x000D_
Computer aided instruction_x000D_
Deep learning_x000D_
Learning systems_x000D_
Occupational diseases_x000D_
Computer aided detection_x000D_
Convolutional neural network_x000D_
Detection and diagnosis_x000D_
Learning models_x000D_
Machine-learning_x000D_
X-ray image</t>
  </si>
  <si>
    <t>Silicosis is a prevalent and damaging occupational disease in India. The detection of silicosis on X-ray images heavily relies on the expertise of radiologists, resulting in delayed detection and diagnosis. To overcome this challenge, machine learning-based computer-aided detection methods are being explored. However, due to the lack of publicly available large databases of silicosis images, highly accurate deep-learning models for silicosis detection through X-rays are difficult to obtain. In this study, we propose a method for silicosis detection using transfer learning techniques on X-ray radiographs. We trained and tested well-known deep transfer learning models, including Vgg16, Vgg19, ResNet50, ResNet101, Densenet121, Densenet169, Densenet201, Xception, Mobilnet, InceptionV3, and Efficient B7 models. Our proposed model is based on ResNet50 in which we add additional layers, which achieved an F1 score of 0.8166. Additionally, we applied the Grad-CAM technique to produce heatmap images that highlight the important features extracted from the X-ray images This approach could serve as a feasible alternative in countries with limited access to specialized radiological equipment and trained radiologists for detecting silicosis on X-ray images. © 2024, The Author(s), under exclusive license to Springer Nature Switzerland AG.</t>
  </si>
  <si>
    <t>2022 International Conference on Futuristic Technologies, INCOFT 2022</t>
  </si>
  <si>
    <t>https://www.scopus.com/inward/record.uri?eid=2-s2.0-85154035827&amp;doi=10.1109%2fINCOFT55651.2022.10094510&amp;partnerID=40&amp;md5=0185e233eb556db23ef247c082b9261f</t>
  </si>
  <si>
    <t>Medical Image Processing_x000D_
StyleGANN_x000D_
Visual Interpretability_x000D_
Forecasting_x000D_
Medical imaging_x000D_
Clinical settings_x000D_
Heatmaps_x000D_
Interpretability_x000D_
Latent vectors_x000D_
Medical Devices_x000D_
Medical imagery_x000D_
Medical images processing_x000D_
Predictive models_x000D_
Histology</t>
  </si>
  <si>
    <t>Interpretability of the underlying predictive models is essential to increase the usage of AI-based medical devices in clinical settings as they become more prevalent in imaging disciplines like radiology and histology. GradCAM is one existing heatmap-based interpretability method that solely emphasises where the predictive characteristics are located. Do not elaborate on how they affect the prediction. In this work, we suggest a a fresh approach to interpretability that can be utilised to comprehend any by displaying the changes that would be made to the supplied image in a to arrive at various predictions. An expert in medical imagery, StyleGAN to offer a mapping between pictures and latent vectors. Our technique recognizes the best direction to update the model prediction in the latent space. This direction can be changed by moving the latent representation of an input image to create a number of fresh synthetic graphics with modified forecasts. We verify our radiological pictures, and show its capacity to provide a strategy on histology and GradCAM heatmaps are not as informative as meaningful explanations. Our technique displays the patterns that the model has discovered, enabling physicians to develop rely on the model's forecasts, find new biomarkers, and ultimately reveal possible biases. © 2022 IEEE.</t>
  </si>
  <si>
    <t>Convolution neural network_x000D_
Deep learning_x000D_
Edge computing_x000D_
GradCam_x000D_
Memory profiler_x000D_
Pruning_x000D_
Quantization_x000D_
Transfer learning models_x000D_
Weight clustering</t>
  </si>
  <si>
    <t>Edge computing offers promising solutions for challenges related to latency, connectivity, scalability, cost, and privacy. However, the resource requirements of deep learning networks continue to pose difficulties for edge devices. Artificial intelligence (AI)-based agriculture and medical field applications demand a large network-sized model that involves more floating-point operations. This research work aims to address resource-constrained issues pertaining to edge devices using neural network optimization. The strategies used to accomplish neural network optimization comprise pruning, weight clustering, and quantization. With regard to deep learning models, these collaborative optimization techniques assist in reducing memory size and utilization. To illustrate our work, we used the Corn Leaf Disease and Skin Cancer Disease datasets and applied the necessary image preprocessing. The Convolution Neural Network (CNN) algorithm is employed to train the model using the preprocessed dataset. For the Corn Leaf Disease, the optimized CNN model utilized 5.1 MB of memory storage with a training accuracy of 81.92% compared to the trained model’s 66 MB of memory storage and 83.38% training accuracy. This research work optimized the transfer learning models such as ResNet and MobileNet as accuracy was crucial, and observed that MobileNet not only results in good accuracy but performs well in-memory aspects as well compared to CNN and ResNet. To verify the reliability of the trained models in real-time, the GradCam algorithm is used in addition to accuracy. Using a memory profiler, we assessed the performance of the optimized model, and the inference was carried out on the arm-powered Raspberry PI edge device. © 2023, The Author(s), under exclusive licence to Springer Nature Singapore Pte Ltd.</t>
  </si>
  <si>
    <t>Y. Shu; A. Van Den Hengel; L. Liu</t>
  </si>
  <si>
    <t>https://www.scopus.com/inward/record.uri?eid=2-s2.0-85173679892&amp;doi=10.1109%2fCVPR52729.2023.01096&amp;partnerID=40&amp;md5=7431850b7c5e8ce647590501d8e77bcf</t>
  </si>
  <si>
    <t>Self-supervised or unsupervised representation learning</t>
  </si>
  <si>
    <t>Self-supervised learning (SSL) strategies have demonstrated remarkable performance in various recognition tasks. However, both our preliminary investigation and recent studies suggest that they may be less effective in learning representations for fine-grained visual recognition (FGVR) since many features helpful for optimizing SSL objectives are not suitable for characterizing the subtle differences in FGVR. To overcome this issue, we propose learning an additional screening mechanism to identify discriminative clues commonly seen across instances and classes, dubbed as common rationales in this paper. Intuitively, common rationales tend to correspond to the discriminative patterns from the key parts of foreground objects. We show that a common rationale detector can be learned by simply exploiting the GradCAM induced from the SSL objective without using any pre-trained object parts or saliency detectors, making it seamlessly to be integrated with the existing SSL process. Specifically, we fit the GradCAM with a branch with limited fitting capacity, which allows the branch to capture the common rationales and discard the less common discriminative patterns. At the test stage, the branch generates a set of spatial weights to selectively aggregate features representing an instance. Extensive experimental results on four visual tasks demonstrate that the proposed method can lead to a significant improvement in different evaluation settings.11The source code will be publicly available at:https://github.com/GANPerf/LCR © 2023 IEEE.</t>
  </si>
  <si>
    <t>M. Song; Y. Kim</t>
  </si>
  <si>
    <t>Discrete Wavelet Coefficient-based Embeddable Branch for Ultrasound Breast Masses Classification</t>
  </si>
  <si>
    <t>Proceedings of the ACM Symposium on Applied Computing</t>
  </si>
  <si>
    <t>1225-1232</t>
  </si>
  <si>
    <t>https://www.scopus.com/inward/record.uri?eid=2-s2.0-85162888661&amp;doi=10.1145%2f3555776.3577727&amp;partnerID=40&amp;md5=8fb4b17334d8c6dcd40852712da5ccfd</t>
  </si>
  <si>
    <t>10.1145/3555776.3577727</t>
  </si>
  <si>
    <t>deep learning_x000D_
discrete wavelet transformation_x000D_
ultrasound breast lesion classification_x000D_
wavelet coefficient_x000D_
Computer aided diagnosis_x000D_
Discrete wavelet transforms_x000D_
Medical imaging_x000D_
Signal reconstruction_x000D_
Ultrasonics_x000D_
Breast lesion_x000D_
Diagnose system_x000D_
Discrete wavelets_x000D_
Discrete wavelets transformations_x000D_
Lesion classification_x000D_
Mass classifications_x000D_
Ultrasound breast mass_x000D_
Tumors</t>
  </si>
  <si>
    <t>The progress of computer-aid-diagnosis system for ultrasound breast lesions reaches tremendous success in the past few years. However, conventional deep learning-based strategies in recent developments still have challenges particularly in characterizing tumor domain in ultrasound images due to the heterogeneous and complex variations of lesions along with similar intensity exhibited in target object. To address this, this work proposes a discrete wavelet coefficient-based embeddable branch that allows to additionally propagate geometrical features of tumors in an end-to-end trainable fashion. To be elaborate, such branch priorly enforce the wavelet pooling operation to select a certain coefficient to further collect gradient information of target domain. Further, the current work also investigates two different preprocessing strategies in which the internal and external gradients of lesion areas can be emphasized within the transformation. Thus, we examine the effects of the proposed method based on different preprocessing scenarios. To verify the usefulness, GradCam projection, and the cross-validation demonstrate the connection of the proposed branch encourages the importance of target features, thus boosting the overall discrimination between lesion groups. Lastly, the proposed branch can be easily incorporated with existing deep learning-based architectures. © 2023 ACM.</t>
  </si>
  <si>
    <t>2022 IEEE International Conference on Electronics, Computing and Communication Technologies, CONECCT 2022</t>
  </si>
  <si>
    <t>https://www.scopus.com/inward/record.uri?eid=2-s2.0-85138265253&amp;doi=10.1109%2fCONECCT55679.2022.9865816&amp;partnerID=40&amp;md5=136a81384af331c78004107a92d91e35</t>
  </si>
  <si>
    <t>Artificial intelligence_x000D_
CNN_x000D_
Deep Learning_x000D_
XAI_x000D_
Decision support systems_x000D_
Face recognition_x000D_
Black boxes_x000D_
Domain knowledge_x000D_
Face masks_x000D_
High-accuracy_x000D_
Learn+_x000D_
Model evaluation_x000D_
Number of layers_x000D_
Precision and recall</t>
  </si>
  <si>
    <t>Artificial intelligence(AI) is used in decision support systems which learn and perceive features as a function of the number of layers and the weights computed during training. Due to their inherent black box nature, it is insufficient to consider accuracy, precision and recall as metrices for evaluating a model's performance. Domain knowledge is also essential to identify features that are significant by the model to arrive at its decision. In this paper, we consider a use case of face mask recognition to explain the application and benefits of XAI. Eight models used to solve the face mask recognition problem were selected. GradCAM Explainable AI (XAI) is used to explain the state-of-art models. Models that were selecting incorrect features were eliminated even though, they had a high accuracy. Domain knowledge relevant to face mask recognition viz., facial feature importance is applied to identify the model that picked the most appropriate features to arrive at the decision. We demonstrate that models with high accuracies need not be necessarily select the right features. In applications requiring rapid deployment, this method can act as a deciding factor in shortlisting models with a guarantee that the models are looking at the right features for arriving at the classification. Furthermore, the outcomes of the model can be explained to the user enhancing their confidence on the AI model being deployed in the field. © 2022 IEEE.</t>
  </si>
  <si>
    <t>V. Srivastava</t>
  </si>
  <si>
    <t>Diagnosing Covid-19 using AI based Medical Image Analysis</t>
  </si>
  <si>
    <t>204-212</t>
  </si>
  <si>
    <t>https://www.scopus.com/inward/record.uri?eid=2-s2.0-85122677493&amp;doi=10.1145%2f3493700.3493730&amp;partnerID=40&amp;md5=31eee859684cb66bec6cad01060c19bf</t>
  </si>
  <si>
    <t>10.1145/3493700.3493730</t>
  </si>
  <si>
    <t>COVID-19_x000D_
CovSADs_x000D_
Deep Learning_x000D_
DeepCovCT_x000D_
DeepCovX_x000D_
Etc._x000D_
GradCam_x000D_
Transfer Learning_x000D_
Binary images_x000D_
Computerized tomography_x000D_
Diagnosis_x000D_
Medical imaging_x000D_
Covid-19 smart AI diagnose system_x000D_
CT-scan images_x000D_
Diagnose system_x000D_
Etc_x000D_
Image segmentation</t>
  </si>
  <si>
    <t>The pandemic of COVID-19 is currently one of the most significant problems being dealt with, all around the world. It mainly affects the lungs of the infected person which can further result in serious threats. So to avoid this life threatening condition, we have used chest radiological images for COVID-19 detection. This infectious disease is communicable and is spreading rapidly throughout the world. Hence, fast and accurate detection of COVID-19 is mandatory, so one can be given proper treatment well before time. In this paper, the proposed work aims to develop a web application, namely CovSADs(Covid-19 Smart A.I. Diagnosis System), using deep learning approach for faster and efficient detection of COVID-19. This web application uses X-ray and CT scan images for the evaluation. Here, we have developed DeepCovX and DeepCovCT models by incorporating Transfer Learning (TL) approach for COVID-19 detection via chest X-ray and CT scan images respectively. Further, we have used GradCam in case of X-ray to make sure our model is looking at relevant information to make decisions and image-segmentation is used in case of CT scan to extract and localize Region-of-interest (ROI) from binary image. Our proposed models show the accuracy of 95.89% and 98.01% for X-ray and CT scan images respectively. We have obtained specificity of 99.57%, sensitivity of 100%, and AUC of 0.998 in case of X-ray and specificity of 98.80%, sensitivity of 97.06%, and AUC of 0.9875 in case of CT scan images. F1-score is obtained as 0.98 for COVID-19 and 0.98 for Non-COVID-19 in case of CT scan images. Both quantitative and qualitative results demonstrate promising results for COVID-19 detection and extraction of infected lung regions. The primary objective of the web application is to assist the radiologists not only for mass screening but also to help in planning treatment process. © 2022 ACM.</t>
  </si>
  <si>
    <t>https://www.scopus.com/inward/record.uri?eid=2-s2.0-85146377865&amp;doi=10.1109%2fICIP46576.2022.9897732&amp;partnerID=40&amp;md5=b8c89607ae69ca74e1112d22010b165b</t>
  </si>
  <si>
    <t>Adversarial defense_x000D_
Barycenter_x000D_
Dual Wasserstein_x000D_
Computer vision_x000D_
Barycenters_x000D_
Marginals_x000D_
Wasserstein metric_x000D_
Wasserstein spaces_x000D_
Network security</t>
  </si>
  <si>
    <t>Wasserstein metric based adversarial attacks have attracted a great interest in the recent past. Even though they exhibit strong attacks, surprisingly, they have not been investigated for defense. In this work, we demonstrate that barycenters computed in Wasserstein space can act as a measure of defense against adversarial attacks. We compute the barycenter using marginals obtained from the given image and demonstrate its effectiveness in defense even without any adversarial training. We further analyse the barycenters using GradCam to understand their defensive characteristics. Elaborate experiments on MNIST, Fashion-MNIST, CIFAR-10 and CIFAR-100 demonstrate a significant increase in the robustness of victim classifiers. Our code is available at https://github.com/VisualConception-Group/Barycentric-Defense. © 2022 IEEE.</t>
  </si>
  <si>
    <t>T. Sun; H. Chen; Y. Qiu; C. Zhao</t>
  </si>
  <si>
    <t>Efficient Shapley Values Calculation for Transformer Explainability</t>
  </si>
  <si>
    <t>14406 LNCS</t>
  </si>
  <si>
    <t>54-67</t>
  </si>
  <si>
    <t>https://www.scopus.com/inward/record.uri?eid=2-s2.0-85177238117&amp;doi=10.1007%2f978-3-031-47634-1_5&amp;partnerID=40&amp;md5=7c1450d8f2326e1a35e24857ae2f5cbe</t>
  </si>
  <si>
    <t>10.1007/978-3-031-47634-1_5</t>
  </si>
  <si>
    <t>Explainability_x000D_
Shapley Values_x000D_
Transformer_x000D_
Backpropagation_x000D_
Computation theory_x000D_
Game theory_x000D_
Visualization_x000D_
Activation mapping_x000D_
Back Propagation_x000D_
Mapping method_x000D_
Novel methods_x000D_
Performance_x000D_
Shapley value_x000D_
Value methods_x000D_
Visualization method_x000D_
Efficiency</t>
  </si>
  <si>
    <t>Class activation mapping (CAM) methods have achieved great model explainability performance for CNNs. However, these methods do not perform so well for Transformers, whose architectures are fundamentally different from CNNs. Instead, gradient-weighted attention visualization methods, with effective consideration for the self-attention and skip-connection, achieve very promising explainability for Transformers. These methods compute gradients by back-propagation to achieve class-specific and accurate explainability. In this work, to further increase the accuracy and efficiency in Transformer explainability, we propose a novel method which is both class-specific and gradient-free. The token importance is calculated using Shapley value method, which has a solid base on game theory but is conventionally very computational expensive to use in practice. To calculate the Shapley value accurately and efficiently for each token, we decouple the self-attention from the information flow in Transformers and freeze other unrelated values. In this way, we construct a linear version of Transformer so that the Shapley values can be calculated conveniently. Using Shapley values for explainability, our method not only improves the explainability further but also becomes class-specific without using gradients, surpassing other gradient-based methods in both accuracy and efficiency. Furthermore, we show that explainability methods for CNNs and Transformers can be bridged under the 1st-order Taylor expansion of our method, resulting in (1) a significant explainability improvement for a modified GradCAM method in Transformers and (2) new insights into understanding the existing gradient-based attention visualization methods. Extensive experiments show that our method is superior compared to state-of-the-arts methods. Our code will be made available. © 2023, The Author(s), under exclusive license to Springer Nature Switzerland AG.</t>
  </si>
  <si>
    <t>https://www.scopus.com/inward/record.uri?eid=2-s2.0-85178506370&amp;doi=10.1109%2fFUZZ52849.2023.10309766&amp;partnerID=40&amp;md5=8acae8336d5cc410ecc022387793fd12</t>
  </si>
  <si>
    <t>Chemical activation_x000D_
Computer vision_x000D_
Gaussian distribution_x000D_
Gaussian noise (electronic)_x000D_
Safety engineering_x000D_
Activation maps_x000D_
Behavior deviations_x000D_
Defence mechanisms_x000D_
Gaussian random noise_x000D_
Gaussians_x000D_
Neural-networks_x000D_
Performance_x000D_
Pixel level_x000D_
Safety critical applications_x000D_
Deep neural networks</t>
  </si>
  <si>
    <t>Deep Learning (DL) and Deep Neural Networks (DNNs) are widely used in various domains. However, adversarial attacks can easily mislead a neural network and lead to wrong decisions. Defense mechanisms are highly preferred in safety- critical applications. In this paper, firstly, we use the gradient class activation map (GradCAM) to analyze the behavior deviation of the VGG-16 network when its inputs are mixed with adversarial perturbation or Gaussian noise. In particular, our method can locate vulnerable layers that are sensitive to adversarial perturbation and Gaussian noise. We also show that the behavior deviation of vulnerable layers can be used to detect adversarial examples. Secondly, we propose a novel NoiseCAM algorithm that integrates information from globally and pixel- level weighted class activation maps. Our algorithm is highly sensitive to adversarial perturbations and will not respond to Gaussian random noise mixed in the inputs. Third, we compare detecting adversarial examples using both behavior deviation and NoiseCAM, and we show that NoiseCAM outperforms behavior deviation modeling in its overall performance. Our work could provide a useful tool to defend against certain types of adversarial attacks on deep neural networks. © 2023 IEEE.</t>
  </si>
  <si>
    <t>https://www.scopus.com/inward/record.uri?eid=2-s2.0-85134711575&amp;doi=10.1016%2fj.bspc.2022.103948&amp;partnerID=40&amp;md5=90ce51b0ce957e8b175d62266a8740c0</t>
  </si>
  <si>
    <t>Diffusion MRI_x000D_
Hybrid deep feature engineering_x000D_
Ischemic acute infarction detection_x000D_
Transfer learning_x000D_
Brain mapping_x000D_
Classification (of information)_x000D_
Convolutional neural networks_x000D_
Deep learning_x000D_
Feature extraction_x000D_
Image classification_x000D_
Image enhancement_x000D_
Iterative methods_x000D_
Lime_x000D_
Support vector machines_x000D_
Brain images_x000D_
Classification models_x000D_
Engineering modelling_x000D_
Feature engineerings_x000D_
Features extraction_x000D_
Images classification_x000D_
acute disease_x000D_
aged_x000D_
algorithm_x000D_
analytic method_x000D_
Article_x000D_
brain_x000D_
brain infarction_x000D_
brain ischemia_x000D_
classification algorithm_x000D_
convolutional neural network_x000D_
deep feature extraction_x000D_
densenet201 network_x000D_
diagnostic accuracy_x000D_
edge detection_x000D_
female_x000D_
gradcam algorithm_x000D_
histogram_x000D_
human_x000D_
image processing_x000D_
iterative neighborhood component analysis_x000D_
locally interpretable model explanation_x000D_
major clinical study_x000D_
male_x000D_
neuroimaging_x000D_
nuclear magnetic resonance imaging_x000D_
patient information_x000D_
progressive depth reconstruction network_x000D_
resnet101 network_x000D_
sensitivity and specificity_x000D_
support vector machine_x000D_
transfer of learning_x000D_
validation study_x000D_
Magnetic resonance imaging</t>
  </si>
  <si>
    <t>Background: Stroke is a neurological condition that occurs when cerebral vessels become blocked and have reduced blood flow. This research proposes a hybrid deep feature-based feature engineering model to achieve high classification performance. Materials and method: In this research, three brain magnetic resonance image datasets were used to test the proposed model. A deep feature engineering model has been proposed to deploy the raw MRI and four preprocessing algorithms: GradCAM, histogram-matching, canny edge detection, and Locally Interpretable Model-Agnostic Explanations(LIME). The deep features have been extracted using Resnet101 and DenseNet201 pre-trained convolutional neural networks (CNN). Thus, this model is titled preprocessing based DenseNet and ResNet (PDRNet). The iterative neighborhood component analysis (INCA) function selects the most suitable features. These features are trained and validated using support vector machine (SVM) classifiers. Iterative Majority Voting (IMV) has been applied to the results obtained from the SVM. The best classification result has been selected by deploying IMV. Results: Our proposed PDRNet achieved a classification accuracy of 97.56% for Dataset 1, 99.32% for Dataset 2, and 99.16% for Dataset 3. The success of the presented model is demonstrated using these calculated accuracies. Conclusions: Our proposed hybrid deep feature model was tested on two datasets with two and four classes. It has also been compared to other state-of-art deep learning-based models, and our model performs better. These results and findings clearly demonstrate the success of the introduced hybrid deep feature engineering method. © 2022 Elsevier Ltd</t>
  </si>
  <si>
    <t>2023 IEEE 14th Annual Ubiquitous Computing, Electronics and Mobile Communication Conference, UEMCON 2023</t>
  </si>
  <si>
    <t>261-267</t>
  </si>
  <si>
    <t>https://www.scopus.com/inward/record.uri?eid=2-s2.0-85179759363&amp;doi=10.1109%2fUEMCON59035.2023.10316012&amp;partnerID=40&amp;md5=1ee62d2a2a4d13b97c8df4f65c360dc0</t>
  </si>
  <si>
    <t>Deep Learning_x000D_
Explainable-AI_x000D_
Machine Learning_x000D_
Remote Sensing_x000D_
Trustable Deep Learning_x000D_
Decision making_x000D_
Land use_x000D_
Learning algorithms_x000D_
Learning systems_x000D_
Object detection_x000D_
Photomapping_x000D_
Government organizations_x000D_
Human operator_x000D_
Learning models_x000D_
Machine-learning_x000D_
Remote object_x000D_
Remote-sensing_x000D_
Security-critical</t>
  </si>
  <si>
    <t>Remote sensing-based sensors are considered a pivotal medium to monitor remote objects by security-critical government organizations, e.g., DOD, DHS, and EPA. Historically, human operators used manual mapping in monitoring or detecting an object using remote sensing sensors, e.g., multi-spectral images. Deep learning algorithms can automatically identify and learn multi-spectral, multi-temporal, and multi-modality features of remote sensing datasets while detecting objects. They are also known as black box models because they lack clarity in decision-making. In this paper, we compared two explainable AI models, Grad-CAM and Score-CAM, to interpret the decisions in two multispectral datasets: UC-Merced and EuroSat. These datasets contain classes of land use, such as airplanes and buildings, and objects related to land cover, like forests and rivers. In the empirical analysis, we identified that ScoreCAM performed better than GradCAM based on three evaluation metrics: ROAD, SIC, and infidelity in UC-Merced and EuroSat datasets. © 2023 IEEE.</t>
  </si>
  <si>
    <t>D. E. Turan; E. Aptoula; A. Erturk; G. Taskin</t>
  </si>
  <si>
    <t>International Geoscience and Remote Sensing Symposium (IGARSS)</t>
  </si>
  <si>
    <t>https://www.scopus.com/inward/record.uri?eid=2-s2.0-85178383641&amp;doi=10.1109%2fIGARSS52108.2023.10282341&amp;partnerID=40&amp;md5=bbd659d4f78a46463d79ae27ee210897</t>
  </si>
  <si>
    <t>Explainable artificial intelligence_x000D_
GradCam_x000D_
guided backpropagation_x000D_
hyperspectral images_x000D_
interpretability</t>
  </si>
  <si>
    <t>This study addresses the explainability challenges of deep-learning models in the context of hyperspectral remote sensing image classification. Three prominent explainable artificial intelligence methods, namely GradCAM, GradCAM++, and Guided Backpropagation, have been employed in order to comprehend the decision-making process of a typical convolutional neural network model during spatial-spectral hyperspectral image classification. The experiments that have been conducted investigate the impact of pixel patch sizes on spatial attention, as well as spectral band importance. The findings provide insights into the behavior of both convolutional neural networks, as well as the comparative performance of explainability techniques. © 2023 IEEE.</t>
  </si>
  <si>
    <t>2023 IEEE Symposium Series on Computational Intelligence, SSCI 2023</t>
  </si>
  <si>
    <t>https://www.scopus.com/inward/record.uri?eid=2-s2.0-85182952903&amp;doi=10.1109%2fSSCI52147.2023.10371843&amp;partnerID=40&amp;md5=eb555b48582a34234d1147a0ad58a988</t>
  </si>
  <si>
    <t>Alzheimer's Disease_x000D_
Deep Learning_x000D_
Explainability_x000D_
GradCAM_x000D_
Neurodegeneration_x000D_
Parkinson's Disease</t>
  </si>
  <si>
    <t>Early detection of neurodegenerative diseases can be challenging, where Deep Learning (DL) techniques have shown promise. Most DL techniques provide a robust and accurate classification performance. However, due to the complex architectures of the DL models, the classification results are difficult to interpret, causing challenges for their adoption in the healthcare industry. To facilitate this, the current work proposes an effective and interpretable analysis pipeline that compares the performances of pre-trained models for the early detection of Alzheimer's Disease (AD) and Parkinson's Disease (PD). The proposed pipeline allows tuning of hyperparameters, such as batch size, number of epochs, and learning rates, to achieve more robust and accurate classification. Additionally, validation of predictions using heatmaps drawn from GradCAM are also provided. © 2023 IEEE.</t>
  </si>
  <si>
    <t>Explainable Artificial Intelligence in Alzheimer’s Disease Classification: A Systematic Review</t>
  </si>
  <si>
    <t>Cognitive Computation</t>
  </si>
  <si>
    <t>https://www.scopus.com/inward/record.uri?eid=2-s2.0-85174052753&amp;doi=10.1007%2fs12559-023-10192-x&amp;partnerID=40&amp;md5=5af4d4c42e3751db2e66b308883e1b7e</t>
  </si>
  <si>
    <t>Alzheimer’s Disease Classification_x000D_
Ante-hoc_x000D_
Blackbox Models_x000D_
Explainable Artificial Intelligence_x000D_
Intrepretable Machine Learning_x000D_
Model-Agnostic_x000D_
Model-Specific_x000D_
Post-hoc_x000D_
XAI_x000D_
Computer aided diagnosis_x000D_
Machine learning_x000D_
Medical applications_x000D_
Neurodegenerative diseases_x000D_
Alzheimer_x000D_
Black box modelling_x000D_
Disease classification_x000D_
Machine-learning_x000D_
Lime</t>
  </si>
  <si>
    <t>The unprecedented growth of computational capabilities in recent years has allowed Artificial Intelligence (AI) models to be developed for medical applications with remarkable results. However, a large number of Computer Aided Diagnosis (CAD) methods powered by AI have limited acceptance and adoption in the medical domain due to the typical blackbox nature of these AI models. Therefore, to facilitate the adoption of these AI models among the medical practitioners, the models' predictions must be explainable and interpretable. The emerging field of explainable AI (XAI) aims to justify the trustworthiness of these models' predictions. This work presents a systematic review of the literature reporting Alzheimer's disease (AD) detection using XAI that were communicated during the last decade. Research questions were carefully formulated to categorise AI models into different conceptual approaches (e.g., Post-hoc, Ante-hoc, Model-Agnostic, Model-Specific, Global, Local etc.) and frameworks (Local Interpretable Model-Agnostic Explanation or LIME, SHapley Additive exPlanations or SHAP, Gradient-weighted Class Activation Mapping or GradCAM, Layer-wise Relevance Propagation or LRP, etc.) of XAI. This categorisation provides broad coverage of the interpretation spectrum from intrinsic (e.g., Model-Specific, Ante-hoc models) to complex patterns (e.g., Model-Agnostic, Post-hoc models) and by taking local explanations to a global scope. Additionally, different forms of interpretations providing in-depth insight into the factors that support the clinical diagnosis of AD are also discussed. Finally, limitations, needs and open challenges of XAI research are outlined with possible prospects of their usage in AD detection. © 2023, The Author(s).</t>
  </si>
  <si>
    <t>H. T. Vo; N. N. Thien; K. C. Mui</t>
  </si>
  <si>
    <t>A Deep Transfer Learning Approach for Accurate Dragon Fruit Ripeness Classification and Visual Explanation using Grad-CAM</t>
  </si>
  <si>
    <t>1344-1352</t>
  </si>
  <si>
    <t>https://www.scopus.com/inward/record.uri?eid=2-s2.0-85179178564&amp;doi=10.14569%2fIJACSA.2023.01411137&amp;partnerID=40&amp;md5=7309bdb7376d78e337c15a2655584d94</t>
  </si>
  <si>
    <t>10.14569/IJACSA.2023.01411137</t>
  </si>
  <si>
    <t>deep learning_x000D_
densenet201 model_x000D_
Dragon fruit classification_x000D_
Explainable AI_x000D_
Grad-CAM visualization_x000D_
guided grad-CAM_x000D_
model fine-tuning_x000D_
pretrained models_x000D_
ripeness classification_x000D_
transfer learning_x000D_
visual interpretation_x000D_
XAI_x000D_
Agricultural technology_x000D_
Classification (of information)_x000D_
Decision making_x000D_
Fruits_x000D_
Image classification_x000D_
Image enhancement_x000D_
Iterative methods_x000D_
Activation mapping_x000D_
Fine tuning_x000D_
Gradient-weighted class activation mapping visualization_x000D_
Pretrained model_x000D_
Visualization</t>
  </si>
  <si>
    <t>Dragon fruit, known for its rich antioxidant content and low-calorie attributes, has garnered significant attention as a health-promoting fruit. Its economic value has also surged due to increasing consumer demand and its potential as an export commodity in various regions. The classification of dragon fruit ripeness is a pivotal task in ensuring product quality and minimizing post-harvest losses. This research article presents a comprehensive study on the classification of ripe and unripe dragon fruits (Hylocereus spp) using the Densenet201 model through three distinct approaches: as a classifier, feature extractor, and fine-tuner. To explain the outcomes of the image classification model and thereby enhance its performance, optimization, and reliability, this study employs advanced visualization techniques. Specifically, it utilizes Grad-CAM (Gradient-weighted Class Activation Mapping) and Guided Grad-CAM techniques. These techniques offer insights into the model’s decision-making process and pinpoint regions of interest within the images. This approach empowers researchers to iteratively validate the model’s accuracy and enhance its performance. The utilization of Densenet201 as a classifier, feature extractor, and fine-tuner, coupled with the insights from Grad-Cam and Guided GradCam, presents a holistic approach to enhancing dragon fruit ripeness classification. The findings contribute to the broader discourse on agricultural technology, image analysis, and the optimization of classification models. © (2023), (Science and Information Organization). All Rights Reserved.</t>
  </si>
  <si>
    <t>A. Wollek; R. Graf; S. Čečatka; N. Fink; T. Willem; B. O. Sabel; T. Lasser</t>
  </si>
  <si>
    <t>Radiology: Artificial Intelligence</t>
  </si>
  <si>
    <t>Radiological Society of North America Inc.</t>
  </si>
  <si>
    <t>https://www.scopus.com/inward/record.uri?eid=2-s2.0-85159659536&amp;doi=10.1148%2fryai.220187&amp;partnerID=40&amp;md5=f6a20e140dd82b91529d624bcaf4d24a</t>
  </si>
  <si>
    <t>Conventional Radiography_x000D_
Convolutional Neural Network (CNN)_x000D_
Diagnosis_x000D_
Supervised Learning_x000D_
Thorax_x000D_
Article_x000D_
artificial intelligence_x000D_
atelectasis_x000D_
cardiomegaly_x000D_
human_x000D_
information science_x000D_
machine learning_x000D_
pneumothorax_x000D_
retrospective study_x000D_
Saliency Maps_x000D_
thorax radiography_x000D_
visual acuity</t>
  </si>
  <si>
    <t>Purpose: To investigate the chest radiograph classification performance of vision transformers (ViTs) and interpretability of attention-based saliency maps, using the example of pneumothorax classification. Materials and Methods: In this retrospective study, ViTs were fine-tuned for lung disease classification using four public datasets: CheXpert, Chest X-Ray 14, MIMIC CXR, and VinBigData. Saliency maps were generated using transformer multimodal explainability and gradient-weighted class activation mapping (GradCAM). Classification performance was evaluated on the Chest X-Ray 14, VinBigData, and Society for Imaging Informatics in Medicine–American College of Radiology (SIIM-ACR) Pneumothorax Segmentation datasets using the area under the receiver operating characteristic curve (AUC) analysis and compared with convolutional neural networks (CNNs). The explainability methods were evaluated with positive and negative perturbation, sensitivity-n, effective heat ratio, intra-architecture repeatability, and interarchitecture reproducibility. In the user study, three radiologists classified 160 chest radiographs with and without saliency maps for pneumothorax and rated their usefulness. Results: ViTs had comparable chest radiograph classification AUCs compared with state-of-the-art CNNs: 0.95 (95% CI: 0.94, 0.95) versus 0.83 (95%, CI 0.83, 0.84) on Chest X-Ray 14, 0.84 (95% CI: 0.77, 0.91) versus 0.83 (95% CI: 0.76, 0.90) on VinBigData, and 0.85 (95% CI: 0.85, 0.86) versus 0.87 (95% CI: 0.87, 0.88) on SIIM-ACR. Both saliency map methods unveiled a strong bias toward pneumothorax tubes in the models. Radiologists found 47% of the attention-based and 39% of the GradCAM saliency maps useful. The attention-based methods outperformed GradCAM on all metrics. Conclusion: ViTs performed similarly to CNNs in chest radiograph classification, and their attention-based saliency maps were more useful to radiologists and outperformed GradCAM. © RSNA, 2023.</t>
  </si>
  <si>
    <t>A. I. Xavier; C. Villavicencio; J. J. Macrohon; J. H. Jeng; J. G. Hsieh</t>
  </si>
  <si>
    <t>Machines</t>
  </si>
  <si>
    <t>https://www.scopus.com/inward/record.uri?eid=2-s2.0-85132641468&amp;doi=10.3390%2fmachines10050340&amp;partnerID=40&amp;md5=98cb66ef39a111b350a00897f24062de</t>
  </si>
  <si>
    <t>Grad-CAM++_x000D_
GradCAM-MLRCNN_x000D_
Mask R-CNN_x000D_
object detection_x000D_
object localization</t>
  </si>
  <si>
    <t>Object detection has received a lot of research attention in recent years because of its close association with video analysis and image interpretation. Detecting objects in images and videos is a fundamental task and considered as one of the most difficult problems in computer vision. Many machine learning and deep learning models have been proposed in the past to solve this issue. In the current scenario, the detection algorithm must calculate from beginning to end in the shortest amount of time possible. This paper proposes a method called GradCAM-MLRCNN that combines Gradient-weighted Class Activation Mapping++ (Grad-CAM++) for localization and Mask Regional Convolution Neural Network (Mask R-CNN) for object detection along with machine learning algorithms. In our proposed method, images are used to train the network, together with masks that shows where the objects are in the image. A bounding box is regressed around the region of interest in most localization networks. Furthermore, just like any classification task, the multi-class log loss is minimized during training. This model enhances the calculation time and speed, as well as the efficiency, which recognizes objects in images accurately by comparing state-of-the-art machine learning algorithms, such as decision tree, Gaussian algorithm, k-means clustering, k-nearest neighbor, and logistic regression. Among these methods, we found logistic regression performed well with an accuracy rate of 98.4%, recall rate of 99.6%, and precision rate of 97.3% with respect to ResNet 152 and VGG 19. Furthermore, we proved the goodness of fit of our proposed model using chi-square statistical method and demonstrated that our solution can achieve great precision while maintaining a fair recall level. © 2022 by the authors. Licensee MDPI, Basel, Switzerland.</t>
  </si>
  <si>
    <t>https://www.scopus.com/inward/record.uri?eid=2-s2.0-85162225441&amp;doi=10.1016%2fj.bspc.2023.105158&amp;partnerID=40&amp;md5=0fb1ab5f30559b2b03c64ed04fb62825</t>
  </si>
  <si>
    <t>Adaptive regional growth_x000D_
GradCAM_x000D_
UNet_x000D_
Weakly supervised medical image segmentation_x000D_
YoloV5_x000D_
Medical imaging_x000D_
Semantic Segmentation_x000D_
Bounding-box_x000D_
Heatmaps_x000D_
Medical image segmentation_x000D_
Natural scenes_x000D_
Unlabeled data_x000D_
article_x000D_
image segmentation_x000D_
plant seed_x000D_
Semantics</t>
  </si>
  <si>
    <t>Weakly supervised semantic segmentation based on bounding box has been fully developed in natural scenes, but in medical image scenes it often faces the difficulties of blurred edges, imaging noise, and mutual interference between multiple organs, which makes the methods suitable in natural scenes tend to show poor performance in medical images. In this paper, we propose a weakly supervised segmentation method for medical images based on Detection, Growth, and Segmentation (DGS). For weak labels in the form of bounding boxes, the detector YOLOV5 and GradCAM are introduced to obtain the heatmap representation, while the additional unlabeled data can be also utilized through the detector. The thresholded heatmap is used to generate seed points for adaptive regional growth so that better pseudo labels are obtained. Finally, the pseudo labels are used for supervised training on UNet to obtain end to end segmentation. Sufficient experiments show that, compared with other methods, the pseudo label generation and segmentation model formed by our method achieve the best performance, while the use of unlabeled data by the detector brings significant improvement for segmentation in low-label scenarios, which greatly reduce the time and demand of labeling. © 2023 Elsevier Ltd</t>
  </si>
  <si>
    <t>Wireless Communications and Mobile Computing</t>
  </si>
  <si>
    <t>https://www.scopus.com/inward/record.uri?eid=2-s2.0-85141672585&amp;doi=10.1155%2f2022%2f9069007&amp;partnerID=40&amp;md5=d061590501c3e4cb02c24461cc5e3ebc</t>
  </si>
  <si>
    <t>Biometric features_x000D_
Biometric recognition_x000D_
Computing cost_x000D_
Human ear_x000D_
Human ear recognition_x000D_
Personal identity_x000D_
Real time performance_x000D_
Recognition accuracy_x000D_
Recognition methods_x000D_
Recognition patterns_x000D_
Biometrics</t>
  </si>
  <si>
    <t>In recent years, biometric recognition patterns have attracted the attention of many researchers, among which human ears, as a unique and stable biometric feature, have significant advantages in verifying personal identity. In the Internet era, a system with low computing cost and good real-time performance is more popular. Most of the existing ear recognition methods are based on a large parameter network model, which causes a large memory footprint and computational overhead. This paper proposes an efficient and lightweight human ear recognition method (ELERNet) based on MobileNet V2. Based on the MobileNet V2 model, dynamic convolution decomposition is introduced to enhance the representation ability of human ear features. Then, combined with the coordinate attention mechanism, the spatial features of human ear images are aggregated to locate the location information of the human ear features more accurately. We conducted experiments on AWE and EarVN1.0 human ear datasets. Compared with the MobileNet V2 model, the recognition accuracy of our method is significantly improved. Using less computing hardware resources, the ELERNet model achieves 83.52% and 96.10% Rank-1 (R1) recognition accuracy, respectively, which is better than other models. Finally, we provide a visual interpretation using GradCAM technology, and the results show that our method can learn specific and discriminative features in the ear images. © 2022 Xuebin Xu et al.</t>
  </si>
  <si>
    <t>https://www.scopus.com/inward/record.uri?eid=2-s2.0-85138128083&amp;doi=10.1109%2fEMBC48229.2022.9871610&amp;partnerID=40&amp;md5=ccceaf7d3d60ad5be8cc99d8cf83aa82</t>
  </si>
  <si>
    <t>Algorithms_x000D_
Computers_x000D_
Early Detection of Cancer_x000D_
Humans_x000D_
Mouth Neoplasms_x000D_
Medical imaging_x000D_
Automatic Detection_x000D_
Cancer screening_x000D_
Class labels_x000D_
Computer-aided_x000D_
Human assessment_x000D_
Image-based_x000D_
Learning network_x000D_
Oral cancer_x000D_
Oral lesions_x000D_
Test sets_x000D_
algorithm_x000D_
computer_x000D_
early cancer diagnosis_x000D_
human_x000D_
mouth tumor_x000D_
Deep learning</t>
  </si>
  <si>
    <t>Intelligent computer-aided algorithms analyzing photographs of various mouth regions can help in reducing the high subjectivity in human assessment of oral lesions. Very often, in the images, a ruler is placed near a suspected lesion to indicate its location and as a physical size reference. In this paper, we compared two deep-learning networks: ResNeSt and ViT, to automatically identify ruler images. Even though the ImageN et 1K dataset contains a 'ruler' class label, the pre-trained models showed low sensitivity. After fine-tuning with our data, the two networks achieved high performance on our test set as well as a hold-out test set from a different provider. Heatmaps generated using three saliency methods: GradCam and XRAI for ResNeSt model, and Attention Rollout for ViT model, demonstrate the effectiveness of our technique. Clinical Relevance- This is a pre-processing step in automated visual evaluation for oral cancer screening © 2022 IEEE.</t>
  </si>
  <si>
    <t>https://www.scopus.com/inward/record.uri?eid=2-s2.0-85156137540&amp;doi=10.1016%2fj.neunet.2023.04.025&amp;partnerID=40&amp;md5=205d19e971280fe2720ebbb928427879</t>
  </si>
  <si>
    <t>Connectome-wide association study_x000D_
Deep connectome learning_x000D_
Distance-based connectome network_x000D_
Graph neural network_x000D_
Autism Spectrum Disorder_x000D_
Brain_x000D_
Connectome_x000D_
Humans_x000D_
Magnetic Resonance Imaging_x000D_
Neural Networks, Computer_x000D_
Convolution_x000D_
Convolutional neural networks_x000D_
Deep learning_x000D_
Diseases_x000D_
Learning systems_x000D_
Multivariant analysis_x000D_
Autism spectrum disorders_x000D_
Connectomes_x000D_
Distance-based_x000D_
Graph neural networks_x000D_
Learning methods_x000D_
analysis of variance_x000D_
Article_x000D_
attention deficit hyperactivity disorder_x000D_
autism_x000D_
cohort analysis_x000D_
comparative study_x000D_
connectome wide association study_x000D_
controlled study_x000D_
convolutional neural network_x000D_
data interpretation_x000D_
disease association_x000D_
disease classification_x000D_
evaluation study_x000D_
human_x000D_
information processing_x000D_
multivariate distance based connectome network_x000D_
prediction_x000D_
sensitivity analysis_x000D_
artificial neural network_x000D_
clinical trial_x000D_
diagnostic imaging_x000D_
genetics_x000D_
multicenter study_x000D_
nuclear magnetic resonance imaging_x000D_
physiology_x000D_
procedures</t>
  </si>
  <si>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 2023 The Authors</t>
  </si>
  <si>
    <t>https://www.scopus.com/inward/record.uri?eid=2-s2.0-85171629835&amp;doi=10.1016%2fj.engappai.2023.107079&amp;partnerID=40&amp;md5=6b3b607f52deab998b3218527fbb152b</t>
  </si>
  <si>
    <t>Attention mechanisms_x000D_
Cross-dimension feature responses_x000D_
Local feature interactions_x000D_
Multidimensional collaborative attention_x000D_
Convolution_x000D_
Convolutional neural networks_x000D_
Deep neural networks_x000D_
Economic and social effects_x000D_
Channel dimension_x000D_
Collaborative attention_x000D_
Convolutional neural network_x000D_
Cross-dimension feature response_x000D_
Feature interactions_x000D_
Local feature_x000D_
Local feature interaction_x000D_
Performance_x000D_
Image recognition</t>
  </si>
  <si>
    <t>A broad range of prior research has demonstrated that attention mechanisms offer great potential in advancing the performance of deep convolutional neural networks (CNNs). However, most existing approaches either ignore modeling attention in both channel and spatial dimensions or introduce higher model complexity and heavier computational burden. To alleviate this dilemma, in this paper, we propose a lightweight and efficient multidimensional collaborative attention, MCA, a novel method for simultaneously inferring attention in channel, height, and width dimensions with almost free additional overhead by using a three-branch architecture. For the essential components of MCA, we not only develop an adaptive combination mechanism for merging dual cross-dimension feature responses in squeeze transformation, enhancing the informativeness and discriminability of feature descriptors but also design a gating mechanism in excitation transformation that adaptively determines the coverage of interaction to capture local feature interactions, overcoming the paradox of performance and computational overhead trade-off. Our MCA is simple yet general and can be easily plugged into various classic CNNs as a plug-and-play module and trained along with the vanilla networks in an end-to-end manner. Extensive experimental results for image recognition on CIFAR and ImageNet-1K datasets demonstrate the superiority of our method over other state-of-the-art (SOTA) counterparts. In addition, we also provide insight into the practical benefits of MCA by visually inspecting the GradCAM++ visualization results. The code is available at https://github.com/ndsclark/MCANet. © 2023 Elsevier Ltd</t>
  </si>
  <si>
    <t>2022 IEEE 10th Conference on Systems, Process and Control, ICSPC 2022 - Proceedings</t>
  </si>
  <si>
    <t>https://www.scopus.com/inward/record.uri?eid=2-s2.0-85146710625&amp;doi=10.1109%2fICSPC55597.2022.10001743&amp;partnerID=40&amp;md5=5952989a5f94fdba82eecc43b22f4c32</t>
  </si>
  <si>
    <t>CFU analysis_x000D_
colony-formation unit (CFU)_x000D_
deep learning_x000D_
region of interest (ROI)_x000D_
Convolutional neural networks_x000D_
Deep neural networks_x000D_
Extraction_x000D_
Image classification_x000D_
Image segmentation_x000D_
Medical imaging_x000D_
Network layers_x000D_
Colony formation_x000D_
Colony-formation unit_x000D_
Colony-formation unit analyse_x000D_
Hematopoietic stem/progenitor cells_x000D_
Localisation_x000D_
Region of interest_x000D_
Region-of-interest_x000D_
Regions of interest_x000D_
Feature extraction</t>
  </si>
  <si>
    <t>Image classification using deep learning has been widely implemented, primarily in medical imaging. However, features and focus regions are extracted by the network, becomes a black box mystery in the feature extraction layer during network training, unlike conventional feature extraction approaches, where various methods can extract image features. Regardless, traditional image feature extraction is laborious to find the most suitable algorithm. It takes time to meet the significant image features before classification and final image localisation, especially for the microscopic images. Therefore, a method to localise the region of interest (ROI) in vitro of the colony-formation unit (CFU) of hematopoietic stem/progenitor cell (HSPC) using gradCAM through deep learning, approaches have been proposed. This work comprises three main phases: CFU data preparation, convolutional neural network (CNN) pre-trained networks and localisation of the ROI. The proposed method has successfully localised the ROI of the CFU HSPC using gradCAM through a deep neural network with 87.5% sensitivity performed by DarkNet19. The finding of this work can be used as a baseline for future CFU HSPC classification that focuses on the CFU region. © 2022 IEEE.</t>
  </si>
  <si>
    <t>Q. Zhang; L. Rao; Y. Yang</t>
  </si>
  <si>
    <t>35th AAAI Conference on Artificial Intelligence, AAAI 2021</t>
  </si>
  <si>
    <t>4B</t>
  </si>
  <si>
    <t>https://www.scopus.com/inward/record.uri?eid=2-s2.0-85110978491&amp;partnerID=40&amp;md5=675bed9301bcbbccc1a39f63d4c229c4</t>
  </si>
  <si>
    <t>Benchmarking_x000D_
Deep neural networks_x000D_
Perturbation techniques_x000D_
'current_x000D_
Activation maps_x000D_
Class objects_x000D_
Feature map_x000D_
Gradient based_x000D_
Heatmaps_x000D_
Input image_x000D_
Interpretability_x000D_
State-of-the-art methods_x000D_
Weight coefficients_x000D_
Chemical activation</t>
  </si>
  <si>
    <t>Interpretability has been regarded as an essential component for deploying deep neural networks, in which the saliency-based method is one of the most prevailing interpretable approaches since it can generate individually intuitive heatmaps that highlight parts of the input image that are most important to the decision of the deep networks on a particular classification target. However, heatmaps generated by existing methods either contain little information to represent objects (perturbation-based methods) or cannot effectively locate multi-class objects (activation-based approaches). To address this issue, a two-stage framework for visualizing the interpretability of deep neural networks, called Activation Optimized with Perturbation (AOP), is designed to optimize activation maps generated by general activation-based methods with the help of perturbation-based methods. Finally, in order to obtain better explanations for different types of images, we further present an instance of the AOP framework, Smooth Integrated Gradient-based Class Activation Map (SIGCAM), which proposes a weighted GradCAM by applying the feature map as weight coefficients and employs I-GOS to optimize the base-mask generated by weighted GradCAM. Experimental results on common-used benchmarks, including deletion and insertion tests on ImageNet-1k, and pointing game tests on COCO2017, show that the proposed AOP and SIGCAM outperform the current state-of-the-art methods significantly by generating higher quality image-based saliency maps. © 2021, Association for the Advancement of Artificial Intelligence</t>
  </si>
  <si>
    <t>X. Zhao; W. Huang; X. Huang; V. Robu; D. Flynn</t>
  </si>
  <si>
    <t>BayLIME: Bayesian Local Interpretable Model-Agnostic Explanations</t>
  </si>
  <si>
    <t>408-418</t>
  </si>
  <si>
    <t>https://www.scopus.com/inward/record.uri?eid=2-s2.0-85163366815&amp;partnerID=40&amp;md5=85bc39892668977d46fba481e6414649</t>
  </si>
  <si>
    <t>Machine learning_x000D_
Algorithmics_x000D_
Bayesian_x000D_
Bayesian reasoning_x000D_
Knowledge reasoning_x000D_
Pressung_x000D_
Prior-knowledge_x000D_
Property_x000D_
State of the art_x000D_
Verification and validation methods_x000D_
Lime</t>
  </si>
  <si>
    <t>Given the pressing need for assuring algorithmic transparency, Explainable AI (XAI) has emerged as one of the key areas of AI research. In this paper, we develop a novel Bayesian extension to the LIME framework, one of the most widely used approaches in XAI – which we call BayLIME. Compared to LIME, BayLIME exploits prior knowledge and Bayesian reasoning to improve both the consistency in repeated explanations of a single prediction and the robustness to kernel settings. BayLIME also exhibits better explanation fidelity than the state-of-the-art (LIME, SHAP and GradCAM) by its ability to integrate prior knowledge from, e.g., a variety of other XAI techniques, as well as verification and validation (V&amp;V) methods. We demonstrate the desirable properties of BayLIME through both theoretical analysis and extensive experiments. © 2021 Proceedings of Machine Learning Research. All Rights Reserved.</t>
  </si>
  <si>
    <t>37th Conference on Uncertainty in Artificial Intelligence, UAI 2021</t>
  </si>
  <si>
    <t>887-896</t>
  </si>
  <si>
    <t>Association For Uncertainty in Artificial Intelligence (AUAI)</t>
  </si>
  <si>
    <t>https://www.scopus.com/inward/record.uri?eid=2-s2.0-85124118551&amp;partnerID=40&amp;md5=5d7a6084b5dc65d3f23c8c072209a573</t>
  </si>
  <si>
    <t>Lime_x000D_
Algorithmics_x000D_
Bayesian_x000D_
Bayesian reasoning_x000D_
Knowledge reasoning_x000D_
Pressung_x000D_
Prior-knowledge_x000D_
Property_x000D_
State of the art_x000D_
Verification and validation methods_x000D_
Artificial intelligence</t>
  </si>
  <si>
    <t>Given the pressing need for assuring algorithmic transparency, Explainable AI (XAI) has emerged as one of the key areas of AI research. In this paper, we develop a novel Bayesian extension to the LIME framework, one of the most widely used approaches in XAI - which we call BayLIME. Compared to LIME, BayLIME exploits prior knowledge and Bayesian reasoning to improve both the consistency in repeated explanations of a single prediction and the robustness to kernel settings. BayLIME also exhibits better explanation fidelity than the state-of-the-art (LIME, SHAP and GradCAM) by its ability to integrate prior knowledge from, e.g., a variety of other XAI techniques, as well as verification and validation (V&amp;V) methods. We demonstrate the desirable properties of BayLIME through both theoretical analysis and extensive experiments. © 2021 37th Conference on Uncertainty in Artificial Intelligence, UAI 2021. All Rights Reserved.</t>
  </si>
  <si>
    <t>Proceedings of the 2020 IEEE International Conference on Human-Machine Systems, ICHMS 2020</t>
  </si>
  <si>
    <t>https://www.scopus.com/inward/record.uri?eid=2-s2.0-85093956024&amp;doi=10.1109%2fICHMS49158.2020.9209499&amp;partnerID=40&amp;md5=cbd08130d0f363319fc5c3521ed17a04</t>
  </si>
  <si>
    <t>Convolutional Neural Networks_x000D_
GradCAM_x000D_
Heatmap_x000D_
Hot-spot map_x000D_
Computer aided diagnosis_x000D_
Data visualization_x000D_
Decision support systems_x000D_
Deep learning_x000D_
Gene expression_x000D_
Man machine systems_x000D_
Neural networks_x000D_
Automatic diagnosis_x000D_
Classification process_x000D_
Classification tasks_x000D_
Clinical decision support_x000D_
Disease detection_x000D_
Experimental analysis_x000D_
High-dimensional_x000D_
Pre-processing step_x000D_
Learning systems</t>
  </si>
  <si>
    <t>Providing accurate diagnosis of diseases generally requires complex analyses of many clinical, biological and pathological variables. In this context, solutions based on machine learning techniques achieved relevant results in specific disease detection and classification, and can hence provide significant clinical decision support. However, such approaches suffer from the lack of proper means for interpreting the choices made by the models, especially in case of deep-learning ones. In order to improve interpretability and explainability in the process of making qualified decisions, we designed a system that allows for a partial opening of this black box by means of proper investigations on the rationale behind the decisions; this can provide improved understandings into which pre-processing steps are crucial for better performance. We tested our approach over artificial neural networks trained for automatic medical diagnosis based on high-dimensional gene expression and clinical data. Our tool analyzed the internal processes performed by the networks during the classification tasks in order to identify the most important elements involved in the training process that influence the network's decisions.We report the results of an experimental analysis aimed at assessing the viability of the proposed approach. © 2020 IEEE.</t>
  </si>
  <si>
    <t>P. Bruno; C. Marte; F. Calimeri</t>
  </si>
  <si>
    <t>Understanding automatic COVID-19 classification using chest X-ray images</t>
  </si>
  <si>
    <t>https://www.scopus.com/inward/record.uri?eid=2-s2.0-85098914852&amp;partnerID=40&amp;md5=b12ddd6c20e3a28e518df577f0e74499</t>
  </si>
  <si>
    <t>Chest X-ray images_x000D_
Convolutional Neural Networks_x000D_
GradCAM_x000D_
Decision support systems_x000D_
Deep learning_x000D_
Diagnosis_x000D_
Image classification_x000D_
Learning systems_x000D_
Neural networks_x000D_
Viruses_x000D_
Chest X-ray image_x000D_
Classification tasks_x000D_
Clinical decision support_x000D_
Experimental analysis_x000D_
High permeability_x000D_
Interpretability_x000D_
Multiple Classification_x000D_
Training process_x000D_
Diseases</t>
  </si>
  <si>
    <t>The COVID-19 disease caused by the SARS-CoV-2 virus first appeared in Wuhan, China, and is considered a serious disease due to its high permeability, and contagiousness. The similarity of COVID-19 disease with other lung infections, along with its high spreading rate, makes the diagnosis difficult. Solutions based on machine learning techniques achieved relevant results in identifying the correct disease and providing early diagnosis, and can hence provide significant clinical decision support; however, such approaches suffer from the lack of proper means for interpreting the choices made by the models, especially in case of deep learning ones. With the aim to improve interpretability and explainability in the process of making qualified decisions, we designed a system that allows a partial opening of this black box by means of proper investigations on the rationale behind the decisions. We tested our approach over artificial neural networks trained for multiple classification based on Chest X-ray images; our tool analyzed the internal processes performed by the networks during the classification tasks to identify the most important elements involved in the training process that influence the network’s decisions. We report the results of an experimental analysis aimed at assessing the viability of the proposed approach. © 2020 CEUR-WS. All rights reserved.</t>
  </si>
  <si>
    <t>classification_x000D_
Convolutional Neural Networks_x000D_
deep learning_x000D_
GradCAM_x000D_
image processing_x000D_
Mask R-CNN_x000D_
plant diseases detection_x000D_
Agricultural robots_x000D_
Convolution_x000D_
Crops_x000D_
Food supply_x000D_
Image classification_x000D_
Intelligent systems_x000D_
Visualization_x000D_
Activation mapping_x000D_
Agricultural research_x000D_
Food security_x000D_
Interpretation methods_x000D_
Learning models_x000D_
Production and consumption_x000D_
Technological development_x000D_
Visualization method</t>
  </si>
  <si>
    <t>The world has been witnessing a population boom that has several implications including food security. Wheat is one of the world's most important crops in terms of production and consumption, and demand for it is increasing. On the other hand, diseases can damage the abundance and the quality of the crop, so this needs to be revealed through advanced methods. In recent years, along with the various technological developments, using Convolutional Neural Networks (CNN) has proved to be showing great results in many image classification tasks. However, deep learning models are generally considered as black boxes and it is difficult to understand what the model has learned. The purpose of this article is to detect diseases from wheat images using CNNs and to use visualization methods to understand what these models have learned. For this reason, a wheat database has been collected by CRA-W (Walloon Agricultural Research Center), which contains 1163 images and is classified into two groups namely sick and healthy. Moreover, we propose to use the mask R-CNN for segmentation and extraction of wheat spikes from the background. Furthermore, a visualization and interpretation method, namely Gradient-weighted Class Activation Mapping (GradCAM), is used to locate the disease on the wheat spikes in a non-supervised way. GradCAM is actually used generally to highlight the most important regions from the CNN model's viewpoint that are used to perform the classification. © 2020 IEEE.</t>
  </si>
  <si>
    <t>S. Garg; S. Garg</t>
  </si>
  <si>
    <t>Prediction of lung and colon cancer through analysis of histopathological images by utilizing Pre-trained CNN models with visualization of class activation and saliency maps</t>
  </si>
  <si>
    <t>38-45</t>
  </si>
  <si>
    <t>https://www.scopus.com/inward/record.uri?eid=2-s2.0-85113820528&amp;doi=10.1145%2f3442536.3442543&amp;partnerID=40&amp;md5=ca25c9b00181c8ad63dd7bb2fac13243</t>
  </si>
  <si>
    <t>10.1145/3442536.3442543</t>
  </si>
  <si>
    <t>Classification_x000D_
Colon Lung cancer_x000D_
GradCAM_x000D_
Histopathology_x000D_
LC25000_x000D_
Medical Imaging_x000D_
Pre-trained CNN_x000D_
SmoothGrad_x000D_
Biological organs_x000D_
Deep learning_x000D_
Diseases_x000D_
CNN models_x000D_
Colon cancer_x000D_
Histopathological images_x000D_
Lung Cancer</t>
  </si>
  <si>
    <t>Colon and Lung cancer is one of the most perilous and dangerous ailments that individuals are enduring worldwide and has become a general medical problem. To lessen the risk of death, a legitimate and early finding is particularly required. In any case, it is a truly troublesome task that depends on the experience of histopathologists. If a histologist is under-prepared it may even hazard the life of a patient. As of late, deep learning has picked up energy, and it is being valued in the analysis of Medical Imaging. This paper intends to utilize and alter the current pre-trained CNN-based model to identify lung and colon cancer utilizing histopathological images with better augmentation techniques. In this paper, eight distinctive Pre-trained CNN models, VGG16, NASNetMobile, InceptionV3, InceptionResNetV2, ResNet50, Xception, MobileNet, and DenseNet169 are trained on LC25000 dataset. The model performances are assessed on precision, recall, f1score, accuracy, and auroc score. The results exhibit that all eight models accomplished noteworthy results ranging from 96% to 100% accuracy. Subsequently, GradCAM and SmoothGrad are also used to picture the attention images of Pre-trained CNN models classifying malignant and benign images. © 2020 ACM.</t>
  </si>
  <si>
    <t>(Grad) CAM interpretability_x000D_
classification network_x000D_
explainability_x000D_
GradCAM_x000D_
Cams_x000D_
Computer vision_x000D_
Classification networks_x000D_
Interpretability_x000D_
Light weight_x000D_
Localised_x000D_
Structural elements_x000D_
Training process_x000D_
Weight methods_x000D_
Embedded systems</t>
  </si>
  <si>
    <t>We consider a light-weight method which allows to improve the explainability of localized classification networks. The method considers (Grad)CAM maps during the training process by modification of the training loss and does not require additional structural elements. It is demonstrated that the (Grad)CAM interpretability, as measured by several indicators, can be improved in this way. Since the method shall be applicable on embedded systems and on standard deeper architectures, it essentially takes advantage of second order derivatives during the training and does not require additional model layers. © 2020 IEEE.</t>
  </si>
  <si>
    <t>Database Screening</t>
  </si>
  <si>
    <t># Studies Identified</t>
  </si>
  <si>
    <t># Studies Pass Eligibility Assessment</t>
  </si>
  <si>
    <t># Studies Included</t>
  </si>
  <si>
    <t>Total</t>
  </si>
  <si>
    <t># 1st Filter</t>
  </si>
  <si>
    <t># 2nd Filter duplicattion</t>
  </si>
  <si>
    <t>Limitations 0,1,0.5</t>
  </si>
  <si>
    <t>Findings 0,1,0.5</t>
  </si>
  <si>
    <t>Relevence 0,1,0.5</t>
  </si>
  <si>
    <t>Methodology 0, 1, 0.5</t>
  </si>
  <si>
    <t>Score</t>
  </si>
  <si>
    <t># of papers</t>
  </si>
  <si>
    <t>https://iieta.org/journals/ts/paper/10.18280/ts.390529</t>
  </si>
  <si>
    <t>https://www.mdpi.com/2075-4418/13/5/859</t>
  </si>
  <si>
    <t>https://www.mdpi.com/2075-4418/13/9/1594</t>
  </si>
  <si>
    <t>variations</t>
  </si>
  <si>
    <t>Accuracy, Latency (ms)</t>
  </si>
  <si>
    <t># of papers identified</t>
  </si>
  <si>
    <t># of papers included</t>
  </si>
  <si>
    <t>https://www.researchgate.net/publication/342489976_Explaining_the_Rationale_of_Deep_Learning_Glaucoma_Decisions_with_Adversarial_Examples</t>
  </si>
  <si>
    <t>2023 June</t>
  </si>
  <si>
    <t>COVID CXR Image Dataset (Research), DLAI3 Hackathon Phase3 COVID-19 CXR Challenge, COVID-19 Radiography Database, Covid19 Detection</t>
  </si>
  <si>
    <t>https://www.kaggle.com/datasets/sid321axn/covid-cxr-image-dataset-research, https://www.kaggle.com/datasets/jonathanchan/dlai3-hackathon-phase3-covid19-cxr-challenge, https://www.kaggle.com/datasets/tawsifurrahman/covid19-radiography-database,https://www.kaggle.com/datasets/donjon00/covid19-detection</t>
  </si>
  <si>
    <t>Glaucoma</t>
  </si>
  <si>
    <t>ILSVRC-2012</t>
  </si>
  <si>
    <t>Asian elephants image dataset</t>
  </si>
  <si>
    <t>https://www.elephantlisteningproject.orga/</t>
  </si>
  <si>
    <t>Face Mask detection Dataset</t>
  </si>
  <si>
    <t>EyePacs dataset</t>
  </si>
  <si>
    <t>https://paperswithcode.com/dataset/kaggle-eyepacs</t>
  </si>
  <si>
    <t>https://www.kaggle.com/datasets/sartajbhuvaji/brain-tumor-classification-mri</t>
  </si>
  <si>
    <t>Brain tumor dataset</t>
  </si>
  <si>
    <t>LC25000 histopathology dataset</t>
  </si>
  <si>
    <t>https://www.kaggle.com/datasets/andrewmvd/lung-and-colon-cancer-histopathological-images</t>
  </si>
  <si>
    <t>https://ieeexplore.ieee.org/abstract/document/10262261</t>
  </si>
  <si>
    <t>Kvasir-Capsule Dataset</t>
  </si>
  <si>
    <t>https://paperswithcode.com/dataset/pascal-voc</t>
  </si>
  <si>
    <t>Corn Leaf Disease and Skin Cancer Disease datasets</t>
  </si>
  <si>
    <t>https://github.com/pratikkayal/PlantDoc-Dataset, https://github.com/pratikkayal/PlantDoc-Object-Detection-Dataset</t>
  </si>
  <si>
    <t>Short name</t>
  </si>
  <si>
    <t>F1-Score</t>
  </si>
  <si>
    <t>Precision</t>
  </si>
  <si>
    <t>Recall</t>
  </si>
  <si>
    <t>Specificity</t>
  </si>
  <si>
    <t>AUC</t>
  </si>
  <si>
    <t>Sensitivity</t>
  </si>
  <si>
    <t>Loss</t>
  </si>
  <si>
    <t>MCC</t>
  </si>
  <si>
    <t>AUC, Sensitivity, Specificity</t>
  </si>
  <si>
    <t>Sensitivity, Specificity</t>
  </si>
  <si>
    <t>Accuracy, Precision, Recall</t>
  </si>
  <si>
    <t xml:space="preserve">Accuracy, Precision, Recall, F1-Score, AUC </t>
  </si>
  <si>
    <t>Accuracy, F1-Score, AUC</t>
  </si>
  <si>
    <t>Accuracy, Precision, Recall, F1-Score</t>
  </si>
  <si>
    <t>Precision, Recall, F1-Score, Accuracy</t>
  </si>
  <si>
    <t xml:space="preserve">Accuracy, AUC, Sensitivity, Specificity, F1-Score, MCC </t>
  </si>
  <si>
    <t>Accuracy, Memory size</t>
  </si>
  <si>
    <t>Accuracy, F1-Score, Precision, Recall</t>
  </si>
  <si>
    <t>Accuracy, AUC, F1-Score, BA, MCC</t>
  </si>
  <si>
    <t>Accuracy, F1-Scores, Precision, Recall</t>
  </si>
  <si>
    <t>Accuracy, Precision, Recall, F1-Score, AUC</t>
  </si>
  <si>
    <t>Specificity, Sensitivity, F1-Score, AUC</t>
  </si>
  <si>
    <t>Accuracy, Sensitivity, Specificity, F1-Score</t>
  </si>
  <si>
    <t>Sensitivity, Specificity, Precision, F1-Score, Accuracy</t>
  </si>
  <si>
    <t>IoU</t>
  </si>
  <si>
    <t>Cohen's Kappa</t>
  </si>
  <si>
    <t>Dice coefficient</t>
  </si>
  <si>
    <t>Jaccard</t>
  </si>
  <si>
    <t>Latency (ms)</t>
  </si>
  <si>
    <t>Memory size</t>
  </si>
  <si>
    <t>Training time</t>
  </si>
  <si>
    <t>BA</t>
  </si>
  <si>
    <t>MSE Loss</t>
  </si>
  <si>
    <t>F-Beta Score</t>
  </si>
  <si>
    <t>Accuracy, Training Loss</t>
  </si>
  <si>
    <t>Training Loss</t>
  </si>
  <si>
    <t>Precision, Recall, F-Score, Accuracy, Training Loss</t>
  </si>
  <si>
    <t>Improving the Interpretability of Grad-CAMs in Deep Classification Networks</t>
  </si>
  <si>
    <t>Comparing Facial Expression Recognition in Humans and Machines: Using CAM, Grad-CAM, and Extremal Perturbation</t>
  </si>
  <si>
    <t>Reidentifying Asian Elephants from Ear Images Using a Cascade of Convolutional Neural Networks and Explaining with Grad-CAM</t>
  </si>
  <si>
    <t>BrainCrossFed CNN Model for Alzheimer Classification using MRI data and Comparison and Benchmarking proposed model with DINOv2 and ExplainableAI using Grad-CAM</t>
  </si>
  <si>
    <t>Privacy-Preserving Knee Osteoarthritis Classification: A Federated Learning Approach with Grad-CAM Visualization</t>
  </si>
  <si>
    <t>Wheat Diseases Classification and Localization Using Convolutional Neural Networks and Grad-CAM Visualization</t>
  </si>
  <si>
    <t>Simulating Realistic MRI variations to Improve Deep Learning model and visual explanations using Grad-CAM</t>
  </si>
  <si>
    <t>MOSQUITO-NET: A deep learning based CADx system for malaria diagnosis along with model interpretation using Grad-CAM and class activation maps</t>
  </si>
  <si>
    <t>Reducing Overhead of Feature Importance Visualization via Static Grad-CAM Computation</t>
  </si>
  <si>
    <t>Advanced Grad-CAM++: Improved visual explanations of CNN decisions in diabetic retinopathy</t>
  </si>
  <si>
    <t>Improving Individually Selectness for Immune Cells using Grad-CAM</t>
  </si>
  <si>
    <t>Mask-Grad-CAM: Object Identification and Localization of Visual Presentation for Deep Convolutional Network</t>
  </si>
  <si>
    <t>|Grad-CAM|</t>
  </si>
  <si>
    <t xml:space="preserve">|Grad-CAM| </t>
  </si>
  <si>
    <t>|Guided Grad-CAM|</t>
  </si>
  <si>
    <t>|CAM|, |Grad-CAM|</t>
  </si>
  <si>
    <t>|DGXAINet|, |Grad-CAM|</t>
  </si>
  <si>
    <t>|FEM|, |Grad-CAM|</t>
  </si>
  <si>
    <t>|Grad-CAM|,  |saliency map|</t>
  </si>
  <si>
    <t>|Grad-CAM|, |Grad-CAM++|, |EigenGrad-CAM|, |Ablation-CAM|, |Random-CAM|</t>
  </si>
  <si>
    <t>|Grad-CAM++|</t>
  </si>
  <si>
    <t>|Grad-CAM|, |Grad-CAM++|, |LayersCAM|, |LIME|, |SHAP|</t>
  </si>
  <si>
    <t>|Grad-CAM|, |Guided Grad-CAM|</t>
  </si>
  <si>
    <t>|Grad-CAM|, |LIME|, |RISE|, |Squaregrid|</t>
  </si>
  <si>
    <t>|Grad-CAM-based RFS (GRFS)|</t>
  </si>
  <si>
    <t>|HayCAM|</t>
  </si>
  <si>
    <t>|LIME|, |Grad-CAM|</t>
  </si>
  <si>
    <t>|Mask Grad-CAM|</t>
  </si>
  <si>
    <t>|TS-CNN|</t>
  </si>
  <si>
    <t>|SeCAM|</t>
  </si>
  <si>
    <t>|Ablation-CAM|</t>
  </si>
  <si>
    <t>|CAM|</t>
  </si>
  <si>
    <t>|DGXAINet|</t>
  </si>
  <si>
    <t>|EigenGrad-CAM|</t>
  </si>
  <si>
    <t>|FEM|</t>
  </si>
  <si>
    <t>|LIME|</t>
  </si>
  <si>
    <t>|LayersCAM|</t>
  </si>
  <si>
    <t>|Random-CAM|</t>
  </si>
  <si>
    <t>|RISE|</t>
  </si>
  <si>
    <t>|saliency map|</t>
  </si>
  <si>
    <t>|SHAP|</t>
  </si>
  <si>
    <t>|Squaregrid|</t>
  </si>
  <si>
    <t>|ResNet-50|, |DenseNet-121|</t>
  </si>
  <si>
    <t>|ResNet-50|</t>
  </si>
  <si>
    <t>|CNN|</t>
  </si>
  <si>
    <t>|CNN|, |VGG16|</t>
  </si>
  <si>
    <t>|CNN|, |VGG16|, |ResNet-50|</t>
  </si>
  <si>
    <t>|CNN|, |VGG16|, |VGG19|</t>
  </si>
  <si>
    <t>|CHS-Net|</t>
  </si>
  <si>
    <t>|CNN|,  |ResNet-32|</t>
  </si>
  <si>
    <t>|CNN|, ResNet, |VGG|</t>
  </si>
  <si>
    <t>|CNN|, |AlexNet|, |VGG|, |ResNet|</t>
  </si>
  <si>
    <t>|CNN|, |EfficientNet-B3|</t>
  </si>
  <si>
    <t>|CNN|, |GINet|</t>
  </si>
  <si>
    <t>|CNN|, |ResNet|, |MobileNet|</t>
  </si>
  <si>
    <t>|CNN|, |ResNet-18|</t>
  </si>
  <si>
    <t>|CNN|, |WCENet|</t>
  </si>
  <si>
    <t>|CNN|, |Res2Net|</t>
  </si>
  <si>
    <t>|CNN|, |Mosquito Net|</t>
  </si>
  <si>
    <t>|CNN|, |Mask R CNN|, |DenseNet-121|</t>
  </si>
  <si>
    <t>|Mask R CNN|</t>
  </si>
  <si>
    <t>|DenseNet-201|</t>
  </si>
  <si>
    <t>|DenseNet-121|, |Inception|, |Xception|, |ResNet-50|</t>
  </si>
  <si>
    <t>|DenseNet-169|, |Inception-v2|, |MobileNet-v2|</t>
  </si>
  <si>
    <t>|DINO-v2|, |ResNet-101|, |DenseNet-121|, |VGG16|</t>
  </si>
  <si>
    <t>|DLMs|</t>
  </si>
  <si>
    <t>|DNN|</t>
  </si>
  <si>
    <t>|EfficientNet|, |DenseNet-121|, |VGG16|, |VGG19|, |Inception-v3|</t>
  </si>
  <si>
    <t>|EXP-Net|</t>
  </si>
  <si>
    <t>|HighRes3DNet|</t>
  </si>
  <si>
    <t>|LightGBM|, |DenseNet-169|, |MobileNet|</t>
  </si>
  <si>
    <t>|PReLU-Net|, |SqueezeNET|, |Swin Transformer|</t>
  </si>
  <si>
    <t>|ResNet-101|, |EfficientNet-B7|, |Vision Transformer|</t>
  </si>
  <si>
    <t>|ResNet-50|, |Inception-v3|, |DenseNet-201|, |EfficientNet-B7|, |MobileNet-v3|</t>
  </si>
  <si>
    <t>|ResNet-50|, |Inception-v3|, |VGG16|</t>
  </si>
  <si>
    <t>|VGG16|, |DenseNet|, |EfficientNet|</t>
  </si>
  <si>
    <t>|VGG16|, |ResNet-50|, |DenseNet-169|, |MobileNet-v2|</t>
  </si>
  <si>
    <t xml:space="preserve">|VGG16|, |ResNet-50|, |GoogLeNet|, |Xception|, |SqueezeNET| </t>
  </si>
  <si>
    <t>|YOLO|, |CNN|, |VGG16|, |ResNet-50|, |Inception-v3|, |AlexNet|</t>
  </si>
  <si>
    <t>Techniques</t>
  </si>
  <si>
    <t>https://ieeexplore.ieee.org/abstract/document/10309766</t>
  </si>
  <si>
    <t>https://www.tensorflow.org/datasets/catalog/imagenet2012</t>
  </si>
  <si>
    <t>ImageNet2012 dataset</t>
  </si>
  <si>
    <t>https://ieeexplore.ieee.org/abstract/document/10282341</t>
  </si>
  <si>
    <t>Visual representation</t>
  </si>
  <si>
    <t>Pavia University dataset</t>
  </si>
  <si>
    <t>QGIS</t>
  </si>
  <si>
    <t>https://qgis.org/en/site/</t>
  </si>
  <si>
    <t>Tomosynthesis datasets</t>
  </si>
  <si>
    <t>|DCNN|</t>
  </si>
  <si>
    <t>|VGG16|</t>
  </si>
  <si>
    <t>|GLDCNet|</t>
  </si>
  <si>
    <t>|Grad-CAM|,  |NoiseCAM|</t>
  </si>
  <si>
    <t>|Grad-CAM|, |Grad-CAM++|, |Guided Backpropagation|</t>
  </si>
  <si>
    <t>Accuracy, Precision, Specificity, Recall, Dice coefficient, Jaccard</t>
  </si>
  <si>
    <t>AUC, Accuracy, Precision, Sensitivity, Specificity, F1-Score, false positive rate</t>
  </si>
  <si>
    <t>false positive rate</t>
  </si>
  <si>
    <t>Recall, F1-Score,  Accuracy, Precision</t>
  </si>
  <si>
    <t>|ResNet|</t>
  </si>
  <si>
    <t>|VGG|</t>
  </si>
  <si>
    <t>|DenseNet|</t>
  </si>
  <si>
    <t>|VGG19|, |ResNet-34|, |ResNet-101|, |EfficientNet-B3|, |EfficientNet-B4|, |EfficientNet-B5|</t>
  </si>
  <si>
    <t>|AlexNet|</t>
  </si>
  <si>
    <t>|DenseNet-121|</t>
  </si>
  <si>
    <t>|DenseNet-169|</t>
  </si>
  <si>
    <t>|DINO-v2|</t>
  </si>
  <si>
    <t>|EfficientNet|</t>
  </si>
  <si>
    <t>|EfficientNet-B3|</t>
  </si>
  <si>
    <t>|EfficientNet-B4|</t>
  </si>
  <si>
    <t>|EfficientNet-B5|</t>
  </si>
  <si>
    <t>|EfficientNet-B7|</t>
  </si>
  <si>
    <t>|GINet|</t>
  </si>
  <si>
    <t>|GoogLeNet|</t>
  </si>
  <si>
    <t>|Inception|</t>
  </si>
  <si>
    <t>|Inception-v2|</t>
  </si>
  <si>
    <t>|Inception-v3|</t>
  </si>
  <si>
    <t>|LightGBM|</t>
  </si>
  <si>
    <t>|MobileNet|</t>
  </si>
  <si>
    <t>|MobileNet-v2|</t>
  </si>
  <si>
    <t>|MobileNet-v3|</t>
  </si>
  <si>
    <t>|Mosquito Net|</t>
  </si>
  <si>
    <t>|PReLU-Net|</t>
  </si>
  <si>
    <t>|Res2Net|</t>
  </si>
  <si>
    <t>|ResNet-18|</t>
  </si>
  <si>
    <t>|ResNet-32|</t>
  </si>
  <si>
    <t>|ResNet-34|</t>
  </si>
  <si>
    <t>|ResNet-101|</t>
  </si>
  <si>
    <t>|ResNet-152v2|</t>
  </si>
  <si>
    <t>|SqueezeNET|</t>
  </si>
  <si>
    <t>|Swin Transformer|</t>
  </si>
  <si>
    <t>|VGG19|</t>
  </si>
  <si>
    <t>|Vision Transformer|</t>
  </si>
  <si>
    <t>|WCENet|</t>
  </si>
  <si>
    <t>|Xception|</t>
  </si>
  <si>
    <t>|YOLO|</t>
  </si>
  <si>
    <t>|EfficientNet-v2|</t>
  </si>
  <si>
    <t xml:space="preserve">|Inception-v3|, |EfficientNet-v2|, |VGG16|, |VGG19|,|MobileNet-v3|, |ResNet-152v2|, </t>
  </si>
  <si>
    <t>|DINO|</t>
  </si>
  <si>
    <t>AUC, Cohen's kappa, F1-Score, Training Loss, Accuracy, Precision, Recall</t>
  </si>
  <si>
    <t>Accuracy, Sensitivity, Specificity, F1-Score, Cohen's kappa, AUC</t>
  </si>
  <si>
    <t>Accuracy, Precision, Recall, F-Beta Score, Cohen's kappa</t>
  </si>
  <si>
    <t>Child</t>
  </si>
  <si>
    <t>Parent</t>
  </si>
  <si>
    <t>#Child</t>
  </si>
  <si>
    <t>#Parent</t>
  </si>
  <si>
    <t>CIFAR-10 dataset</t>
  </si>
  <si>
    <t>COVID-CT dataset</t>
  </si>
  <si>
    <t>CXR images</t>
  </si>
  <si>
    <t>Imagenet ILSVRC 2012</t>
  </si>
  <si>
    <t>PlantVillage dataset</t>
  </si>
  <si>
    <t>Proposed dataset</t>
  </si>
  <si>
    <t>Published in</t>
  </si>
  <si>
    <t>IEEE</t>
  </si>
  <si>
    <t>Wiley</t>
  </si>
  <si>
    <t>Maruzen</t>
  </si>
  <si>
    <t>2017 IEEE International Conference on Computer Vision (ICCV)</t>
  </si>
  <si>
    <t>PeerJ</t>
  </si>
  <si>
    <t>16th International Workshop on Breast Imaging (IWBI2022</t>
  </si>
  <si>
    <t>IIETA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</si>
</sst>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b/>
      <sz val="11"/>
      <color rgb="FFFF0000"/>
      <name val="Calibri"/>
      <family val="2"/>
      <scheme val="minor"/>
    </font>
    <font>
      <sz val="11"/>
      <name val="Calibri"/>
      <family val="2"/>
      <scheme val="minor"/>
    </font>
    <font>
      <b/>
      <sz val="11"/>
      <color theme="1"/>
      <name val="Calibri"/>
      <family val="2"/>
      <scheme val="minor"/>
    </font>
    <font>
      <b/>
      <sz val="12"/>
      <color theme="0"/>
      <name val="Calibri"/>
      <family val="2"/>
      <scheme val="minor"/>
    </font>
    <font>
      <b/>
      <sz val="11"/>
      <color theme="0"/>
      <name val="Calibri"/>
      <family val="2"/>
      <scheme val="minor"/>
    </font>
    <font>
      <b/>
      <sz val="11"/>
      <name val="Calibri"/>
      <family val="2"/>
      <scheme val="minor"/>
    </font>
    <font>
      <b/>
      <sz val="12"/>
      <name val="Arial"/>
      <family val="2"/>
    </font>
    <font>
      <sz val="12"/>
      <color theme="1"/>
      <name val="Arial"/>
      <family val="2"/>
    </font>
    <font>
      <sz val="12"/>
      <name val="Calibri"/>
      <family val="2"/>
      <scheme val="minor"/>
    </font>
    <font>
      <sz val="12"/>
      <color theme="1"/>
      <name val="Calibri"/>
      <family val="2"/>
      <scheme val="minor"/>
    </font>
    <font>
      <sz val="11"/>
      <color rgb="FF1F1F1F"/>
      <name val="Calibri"/>
      <family val="2"/>
      <scheme val="minor"/>
    </font>
    <font>
      <b/>
      <sz val="12"/>
      <color theme="1"/>
      <name val="Arial"/>
      <family val="2"/>
    </font>
    <font>
      <b/>
      <sz val="12"/>
      <name val="Calibri"/>
      <family val="2"/>
      <scheme val="minor"/>
    </font>
  </fonts>
  <fills count="8">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0"/>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70AD47"/>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theme="9"/>
      </top>
      <bottom/>
      <diagonal/>
    </border>
    <border>
      <left/>
      <right/>
      <top style="thin">
        <color theme="9" tint="0.3999755851924192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top style="thin">
        <color indexed="64"/>
      </top>
      <bottom/>
      <diagonal/>
    </border>
    <border>
      <left style="thin">
        <color indexed="64"/>
      </left>
      <right style="thin">
        <color rgb="FF000000"/>
      </right>
      <top style="thin">
        <color indexed="64"/>
      </top>
      <bottom/>
      <diagonal/>
    </border>
    <border>
      <left style="thin">
        <color rgb="FF000000"/>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94">
    <xf numFmtId="0" fontId="0" fillId="0" borderId="0" xfId="0"/>
    <xf numFmtId="0" fontId="0" fillId="0" borderId="0" xfId="0" applyAlignment="1">
      <alignment wrapText="1"/>
    </xf>
    <xf numFmtId="0" fontId="1" fillId="0" borderId="0" xfId="1"/>
    <xf numFmtId="0" fontId="0" fillId="0" borderId="0" xfId="0" applyAlignment="1">
      <alignment horizontal="center"/>
    </xf>
    <xf numFmtId="0" fontId="2" fillId="0" borderId="0" xfId="0" applyFont="1"/>
    <xf numFmtId="0" fontId="0" fillId="0" borderId="0" xfId="0" applyAlignment="1">
      <alignment horizontal="left"/>
    </xf>
    <xf numFmtId="0" fontId="4" fillId="3" borderId="0" xfId="0" applyFont="1" applyFill="1" applyAlignment="1">
      <alignment vertical="center"/>
    </xf>
    <xf numFmtId="0" fontId="4" fillId="3" borderId="0" xfId="0" applyFont="1" applyFill="1" applyAlignment="1">
      <alignment horizontal="center"/>
    </xf>
    <xf numFmtId="0" fontId="4" fillId="3" borderId="0" xfId="0" applyFont="1" applyFill="1" applyAlignment="1">
      <alignment horizontal="center" vertical="top"/>
    </xf>
    <xf numFmtId="0" fontId="4" fillId="3" borderId="0" xfId="0" applyFont="1" applyFill="1" applyAlignment="1">
      <alignment horizontal="left"/>
    </xf>
    <xf numFmtId="16" fontId="0" fillId="0" borderId="0" xfId="0" applyNumberFormat="1"/>
    <xf numFmtId="17" fontId="0" fillId="0" borderId="0" xfId="0" applyNumberFormat="1"/>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4" fillId="4" borderId="1" xfId="0" applyFont="1" applyFill="1" applyBorder="1" applyAlignment="1">
      <alignment horizontal="center"/>
    </xf>
    <xf numFmtId="0" fontId="1" fillId="0" borderId="0" xfId="1" applyAlignment="1"/>
    <xf numFmtId="0" fontId="4" fillId="3" borderId="0" xfId="0" applyFont="1" applyFill="1" applyAlignment="1">
      <alignment horizontal="center" wrapText="1"/>
    </xf>
    <xf numFmtId="0" fontId="4" fillId="3" borderId="2" xfId="0" applyFont="1" applyFill="1" applyBorder="1" applyAlignment="1">
      <alignment horizontal="center"/>
    </xf>
    <xf numFmtId="0" fontId="4" fillId="3" borderId="0" xfId="0" applyFont="1" applyFill="1" applyAlignment="1">
      <alignment vertical="center" wrapText="1"/>
    </xf>
    <xf numFmtId="0" fontId="4" fillId="3" borderId="0" xfId="0" applyFont="1" applyFill="1" applyAlignment="1">
      <alignment horizontal="center" vertical="top" wrapText="1"/>
    </xf>
    <xf numFmtId="0" fontId="4" fillId="3" borderId="0" xfId="0" applyFont="1" applyFill="1" applyAlignment="1">
      <alignment horizontal="left" wrapText="1"/>
    </xf>
    <xf numFmtId="16" fontId="0" fillId="0" borderId="0" xfId="0" applyNumberFormat="1" applyAlignment="1">
      <alignment wrapText="1"/>
    </xf>
    <xf numFmtId="17" fontId="0" fillId="0" borderId="0" xfId="0" applyNumberFormat="1" applyAlignment="1">
      <alignment wrapText="1"/>
    </xf>
    <xf numFmtId="0" fontId="6" fillId="5" borderId="2" xfId="0" applyFont="1" applyFill="1" applyBorder="1" applyAlignment="1">
      <alignment horizontal="center" vertical="top"/>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xf>
    <xf numFmtId="0" fontId="0" fillId="4" borderId="1" xfId="0" applyFill="1" applyBorder="1" applyAlignment="1">
      <alignment horizontal="center"/>
    </xf>
    <xf numFmtId="0" fontId="0" fillId="4" borderId="1" xfId="0" applyFill="1" applyBorder="1" applyAlignment="1">
      <alignment horizontal="center" vertical="center" wrapText="1"/>
    </xf>
    <xf numFmtId="0" fontId="0" fillId="0" borderId="1" xfId="0" applyBorder="1" applyAlignment="1">
      <alignment wrapText="1"/>
    </xf>
    <xf numFmtId="0" fontId="0" fillId="0" borderId="1" xfId="0" applyBorder="1"/>
    <xf numFmtId="0" fontId="0" fillId="0" borderId="9" xfId="0" applyBorder="1" applyAlignment="1">
      <alignment wrapText="1"/>
    </xf>
    <xf numFmtId="0" fontId="1" fillId="0" borderId="0" xfId="1" applyFill="1" applyAlignment="1"/>
    <xf numFmtId="0" fontId="3" fillId="0" borderId="0" xfId="0" applyFont="1"/>
    <xf numFmtId="0" fontId="0" fillId="6" borderId="0" xfId="0" applyFill="1"/>
    <xf numFmtId="0" fontId="0" fillId="6" borderId="0" xfId="0" applyFill="1" applyAlignment="1">
      <alignment horizontal="center"/>
    </xf>
    <xf numFmtId="0" fontId="1" fillId="6" borderId="0" xfId="1" applyFill="1" applyAlignment="1"/>
    <xf numFmtId="0" fontId="6" fillId="6" borderId="0" xfId="0" applyFont="1" applyFill="1"/>
    <xf numFmtId="0" fontId="8" fillId="4" borderId="3" xfId="0" applyFont="1" applyFill="1" applyBorder="1" applyAlignment="1">
      <alignment horizontal="center" vertical="center"/>
    </xf>
    <xf numFmtId="0" fontId="8" fillId="4" borderId="5" xfId="0" applyFont="1" applyFill="1" applyBorder="1" applyAlignment="1">
      <alignment horizontal="center" vertical="center"/>
    </xf>
    <xf numFmtId="0" fontId="9" fillId="0" borderId="6" xfId="0" applyFont="1" applyBorder="1"/>
    <xf numFmtId="0" fontId="10" fillId="0" borderId="7" xfId="0" applyFont="1" applyBorder="1" applyAlignment="1">
      <alignment horizontal="center" vertical="center" wrapText="1"/>
    </xf>
    <xf numFmtId="0" fontId="9" fillId="0" borderId="0" xfId="0" applyFont="1"/>
    <xf numFmtId="0" fontId="11" fillId="0" borderId="0" xfId="0" applyFont="1"/>
    <xf numFmtId="0" fontId="0" fillId="6" borderId="0" xfId="0" applyFill="1" applyAlignment="1">
      <alignment wrapText="1"/>
    </xf>
    <xf numFmtId="0" fontId="9" fillId="0" borderId="8" xfId="0" applyFont="1" applyBorder="1"/>
    <xf numFmtId="0" fontId="0" fillId="7" borderId="0" xfId="0" applyFill="1"/>
    <xf numFmtId="0" fontId="1" fillId="0" borderId="0" xfId="1" applyNumberFormat="1" applyAlignment="1"/>
    <xf numFmtId="15" fontId="0" fillId="0" borderId="0" xfId="0" applyNumberFormat="1" applyAlignment="1">
      <alignment horizontal="left"/>
    </xf>
    <xf numFmtId="0" fontId="1" fillId="0" borderId="0" xfId="1" applyNumberFormat="1" applyBorder="1" applyAlignment="1"/>
    <xf numFmtId="0" fontId="6" fillId="0" borderId="0" xfId="0" applyFont="1"/>
    <xf numFmtId="0" fontId="1" fillId="0" borderId="0" xfId="1" applyAlignment="1">
      <alignment wrapText="1"/>
    </xf>
    <xf numFmtId="0" fontId="1" fillId="0" borderId="0" xfId="1" applyNumberFormat="1" applyAlignment="1">
      <alignment wrapText="1"/>
    </xf>
    <xf numFmtId="0" fontId="2" fillId="0" borderId="0" xfId="0" applyFont="1" applyAlignment="1">
      <alignment wrapText="1"/>
    </xf>
    <xf numFmtId="0" fontId="5" fillId="2" borderId="0" xfId="0" applyFont="1" applyFill="1" applyAlignment="1">
      <alignment wrapText="1"/>
    </xf>
    <xf numFmtId="0" fontId="1" fillId="6" borderId="0" xfId="1" applyFill="1" applyAlignment="1">
      <alignment wrapText="1"/>
    </xf>
    <xf numFmtId="0" fontId="1" fillId="0" borderId="0" xfId="1" applyFill="1" applyAlignment="1">
      <alignment wrapText="1"/>
    </xf>
    <xf numFmtId="0" fontId="1" fillId="0" borderId="0" xfId="1" applyNumberFormat="1" applyBorder="1" applyAlignment="1">
      <alignment wrapText="1"/>
    </xf>
    <xf numFmtId="0" fontId="9" fillId="0" borderId="0" xfId="0" applyFont="1" applyAlignment="1">
      <alignment horizontal="center"/>
    </xf>
    <xf numFmtId="0" fontId="11" fillId="0" borderId="0" xfId="0" applyFont="1" applyAlignment="1">
      <alignment horizontal="center"/>
    </xf>
    <xf numFmtId="0" fontId="8" fillId="4" borderId="14" xfId="0" applyFont="1" applyFill="1" applyBorder="1" applyAlignment="1">
      <alignment horizontal="center" vertical="center"/>
    </xf>
    <xf numFmtId="0" fontId="8" fillId="4" borderId="19" xfId="0" applyFont="1" applyFill="1" applyBorder="1" applyAlignment="1">
      <alignment horizontal="center" vertical="center"/>
    </xf>
    <xf numFmtId="0" fontId="10" fillId="0" borderId="21"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6" xfId="0" applyFont="1" applyBorder="1" applyAlignment="1">
      <alignment horizontal="center" vertical="center" wrapText="1"/>
    </xf>
    <xf numFmtId="0" fontId="9" fillId="0" borderId="11" xfId="0" applyFont="1" applyBorder="1" applyAlignment="1">
      <alignment horizontal="center" vertical="center"/>
    </xf>
    <xf numFmtId="0" fontId="8" fillId="4" borderId="13" xfId="0" applyFont="1" applyFill="1" applyBorder="1" applyAlignment="1">
      <alignment horizontal="left" vertical="center"/>
    </xf>
    <xf numFmtId="0" fontId="8" fillId="4" borderId="15" xfId="0" applyFont="1" applyFill="1" applyBorder="1" applyAlignment="1">
      <alignment horizontal="left" vertical="center"/>
    </xf>
    <xf numFmtId="0" fontId="9" fillId="0" borderId="20" xfId="0" applyFont="1" applyBorder="1" applyAlignment="1">
      <alignment horizontal="left" vertical="center"/>
    </xf>
    <xf numFmtId="0" fontId="9" fillId="0" borderId="11" xfId="0" applyFont="1" applyBorder="1" applyAlignment="1">
      <alignment horizontal="left" vertical="center"/>
    </xf>
    <xf numFmtId="0" fontId="13" fillId="0" borderId="22" xfId="0" applyFont="1" applyBorder="1" applyAlignment="1">
      <alignment horizontal="left"/>
    </xf>
    <xf numFmtId="0" fontId="14" fillId="0" borderId="18" xfId="0" applyFont="1" applyBorder="1" applyAlignment="1">
      <alignment horizontal="left" vertical="center" wrapText="1"/>
    </xf>
    <xf numFmtId="0" fontId="9" fillId="0" borderId="0" xfId="0" applyFont="1" applyAlignment="1">
      <alignment horizontal="left"/>
    </xf>
    <xf numFmtId="0" fontId="12" fillId="0" borderId="0" xfId="0" applyFont="1" applyAlignment="1">
      <alignment vertical="center" wrapText="1"/>
    </xf>
    <xf numFmtId="0" fontId="0" fillId="0" borderId="10" xfId="0" applyBorder="1"/>
    <xf numFmtId="0" fontId="0" fillId="0" borderId="0" xfId="0" applyAlignment="1">
      <alignment horizontal="center" vertical="center" wrapText="1"/>
    </xf>
    <xf numFmtId="0" fontId="9" fillId="7" borderId="6" xfId="0" applyFont="1" applyFill="1" applyBorder="1"/>
    <xf numFmtId="0" fontId="10" fillId="7" borderId="7" xfId="0" applyFont="1" applyFill="1" applyBorder="1" applyAlignment="1">
      <alignment horizontal="center" vertical="center" wrapText="1"/>
    </xf>
    <xf numFmtId="0" fontId="9" fillId="7" borderId="8" xfId="0" applyFont="1" applyFill="1" applyBorder="1"/>
    <xf numFmtId="0" fontId="0" fillId="0" borderId="7" xfId="0" applyBorder="1" applyAlignment="1">
      <alignment horizontal="center" vertical="center"/>
    </xf>
    <xf numFmtId="0" fontId="0" fillId="4" borderId="4" xfId="0" applyFill="1" applyBorder="1" applyAlignment="1">
      <alignment horizontal="center"/>
    </xf>
    <xf numFmtId="0" fontId="0" fillId="4" borderId="4" xfId="0" applyFill="1" applyBorder="1" applyAlignment="1">
      <alignment horizontal="center" vertical="center" wrapText="1"/>
    </xf>
    <xf numFmtId="0" fontId="9" fillId="0" borderId="12" xfId="0" applyFont="1" applyBorder="1" applyAlignment="1">
      <alignment horizontal="left" vertical="center"/>
    </xf>
    <xf numFmtId="0" fontId="9" fillId="0" borderId="17" xfId="0" applyFont="1" applyBorder="1" applyAlignment="1">
      <alignment horizontal="left" vertical="center"/>
    </xf>
    <xf numFmtId="0" fontId="9" fillId="0" borderId="4" xfId="0" applyFont="1" applyBorder="1" applyAlignment="1">
      <alignment horizontal="left" vertical="center"/>
    </xf>
    <xf numFmtId="0" fontId="9" fillId="0" borderId="12" xfId="0" applyFont="1" applyBorder="1" applyAlignment="1">
      <alignment horizontal="center" vertical="center"/>
    </xf>
    <xf numFmtId="0" fontId="9" fillId="0" borderId="17" xfId="0" applyFont="1" applyBorder="1" applyAlignment="1">
      <alignment horizontal="center" vertical="center"/>
    </xf>
    <xf numFmtId="0" fontId="9" fillId="0" borderId="4" xfId="0" applyFont="1" applyBorder="1" applyAlignment="1">
      <alignment horizontal="center" vertical="center"/>
    </xf>
  </cellXfs>
  <cellStyles count="2">
    <cellStyle name="Hyperlink" xfId="1" builtinId="8"/>
    <cellStyle name="Normal" xfId="0" builtinId="0"/>
  </cellStyles>
  <dxfs count="100">
    <dxf>
      <font>
        <color rgb="FF006100"/>
      </font>
      <fill>
        <patternFill>
          <bgColor rgb="FFC6EFCE"/>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2"/>
      </font>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2"/>
      </font>
    </dxf>
    <dxf>
      <border outline="0">
        <bottom style="thin">
          <color rgb="FF000000"/>
        </bottom>
      </border>
    </dxf>
    <dxf>
      <font>
        <b/>
        <i val="0"/>
        <strike val="0"/>
        <condense val="0"/>
        <extend val="0"/>
        <outline val="0"/>
        <shadow val="0"/>
        <u val="none"/>
        <vertAlign val="baseline"/>
        <sz val="12"/>
        <color auto="1"/>
        <name val="Arial"/>
        <family val="2"/>
        <scheme val="none"/>
      </font>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auto="1"/>
        <name val="Calibri"/>
        <family val="2"/>
        <scheme val="minor"/>
      </font>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right style="thin">
          <color indexed="64"/>
        </right>
        <bottom style="thin">
          <color indexed="64"/>
        </bottom>
      </border>
    </dxf>
    <dxf>
      <border outline="0">
        <bottom style="thin">
          <color indexed="64"/>
        </bottom>
      </border>
    </dxf>
    <dxf>
      <numFmt numFmtId="0" formatCode="General"/>
    </dxf>
    <dxf>
      <numFmt numFmtId="0" formatCode="General"/>
      <alignment vertical="bottom" textRotation="0" wrapText="1" indent="0" justifyLastLine="0" shrinkToFit="0" readingOrder="0"/>
    </dxf>
    <dxf>
      <numFmt numFmtId="0" formatCode="General"/>
    </dxf>
    <dxf>
      <numFmt numFmtId="0" formatCode="General"/>
      <alignment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Studies Identified</a:t>
            </a:r>
          </a:p>
        </c:rich>
      </c:tx>
      <c:layout>
        <c:manualLayout>
          <c:xMode val="edge"/>
          <c:yMode val="edge"/>
          <c:x val="0.31060158831131951"/>
          <c:y val="8.117708045032185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A9-4B9F-84F5-F9D8DDA1A1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A9-4B9F-84F5-F9D8DDA1A1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A9-4B9F-84F5-F9D8DDA1A1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A9-4B9F-84F5-F9D8DDA1A11D}"/>
              </c:ext>
            </c:extLst>
          </c:dPt>
          <c:dLbls>
            <c:dLbl>
              <c:idx val="0"/>
              <c:layout>
                <c:manualLayout>
                  <c:x val="-2.0390437659521615E-2"/>
                  <c:y val="-3.6088645371851751E-3"/>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090208521986234"/>
                      <c:h val="0.10233937005307191"/>
                    </c:manualLayout>
                  </c15:layout>
                </c:ext>
                <c:ext xmlns:c16="http://schemas.microsoft.com/office/drawing/2014/chart" uri="{C3380CC4-5D6E-409C-BE32-E72D297353CC}">
                  <c16:uniqueId val="{00000001-04A9-4B9F-84F5-F9D8DDA1A11D}"/>
                </c:ext>
              </c:extLst>
            </c:dLbl>
            <c:dLbl>
              <c:idx val="1"/>
              <c:layout>
                <c:manualLayout>
                  <c:x val="1.2399693906943572E-2"/>
                  <c:y val="-2.1595020968615149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6744970229383377"/>
                      <c:h val="0.10233937005307191"/>
                    </c:manualLayout>
                  </c15:layout>
                </c:ext>
                <c:ext xmlns:c16="http://schemas.microsoft.com/office/drawing/2014/chart" uri="{C3380CC4-5D6E-409C-BE32-E72D297353CC}">
                  <c16:uniqueId val="{00000003-04A9-4B9F-84F5-F9D8DDA1A11D}"/>
                </c:ext>
              </c:extLst>
            </c:dLbl>
            <c:dLbl>
              <c:idx val="2"/>
              <c:layout>
                <c:manualLayout>
                  <c:x val="-0.11206975967102147"/>
                  <c:y val="9.1324215506612093E-3"/>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0017857464076572"/>
                      <c:h val="0.10639822407558801"/>
                    </c:manualLayout>
                  </c15:layout>
                </c:ext>
                <c:ext xmlns:c16="http://schemas.microsoft.com/office/drawing/2014/chart" uri="{C3380CC4-5D6E-409C-BE32-E72D297353CC}">
                  <c16:uniqueId val="{00000005-04A9-4B9F-84F5-F9D8DDA1A11D}"/>
                </c:ext>
              </c:extLst>
            </c:dLbl>
            <c:dLbl>
              <c:idx val="3"/>
              <c:layout>
                <c:manualLayout>
                  <c:x val="-3.382929223718157E-2"/>
                  <c:y val="0.14072174733985265"/>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2350393316642378"/>
                      <c:h val="0.10233937005307191"/>
                    </c:manualLayout>
                  </c15:layout>
                </c:ext>
                <c:ext xmlns:c16="http://schemas.microsoft.com/office/drawing/2014/chart" uri="{C3380CC4-5D6E-409C-BE32-E72D297353CC}">
                  <c16:uniqueId val="{00000007-04A9-4B9F-84F5-F9D8DDA1A11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Databases'!$A$2:$A$5</c:f>
              <c:strCache>
                <c:ptCount val="4"/>
                <c:pt idx="0">
                  <c:v>IEEE Xplore</c:v>
                </c:pt>
                <c:pt idx="1">
                  <c:v>Scopus</c:v>
                </c:pt>
                <c:pt idx="2">
                  <c:v>ScienceDirect</c:v>
                </c:pt>
                <c:pt idx="3">
                  <c:v>Web of Science</c:v>
                </c:pt>
              </c:strCache>
            </c:strRef>
          </c:cat>
          <c:val>
            <c:numRef>
              <c:f>'# Databases'!$B$2:$B$5</c:f>
              <c:numCache>
                <c:formatCode>General</c:formatCode>
                <c:ptCount val="4"/>
                <c:pt idx="0">
                  <c:v>78</c:v>
                </c:pt>
                <c:pt idx="1">
                  <c:v>150</c:v>
                </c:pt>
                <c:pt idx="2">
                  <c:v>36</c:v>
                </c:pt>
                <c:pt idx="3">
                  <c:v>163</c:v>
                </c:pt>
              </c:numCache>
            </c:numRef>
          </c:val>
          <c:extLst>
            <c:ext xmlns:c16="http://schemas.microsoft.com/office/drawing/2014/chart" uri="{C3380CC4-5D6E-409C-BE32-E72D297353CC}">
              <c16:uniqueId val="{0000000C-04A9-4B9F-84F5-F9D8DDA1A11D}"/>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Studies Pass Screening</a:t>
            </a:r>
          </a:p>
        </c:rich>
      </c:tx>
      <c:layout>
        <c:manualLayout>
          <c:xMode val="edge"/>
          <c:yMode val="edge"/>
          <c:x val="0.31060158831131951"/>
          <c:y val="8.117708045032185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BC-4686-837C-F4B5F61728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BC-4686-837C-F4B5F61728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BC-4686-837C-F4B5F61728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BC-4686-837C-F4B5F6172891}"/>
              </c:ext>
            </c:extLst>
          </c:dPt>
          <c:dLbls>
            <c:dLbl>
              <c:idx val="0"/>
              <c:layout>
                <c:manualLayout>
                  <c:x val="0.27691061510678228"/>
                  <c:y val="-5.276510229270921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9BC-4686-837C-F4B5F6172891}"/>
                </c:ext>
              </c:extLst>
            </c:dLbl>
            <c:dLbl>
              <c:idx val="1"/>
              <c:layout>
                <c:manualLayout>
                  <c:x val="6.2305024673935026E-2"/>
                  <c:y val="9.741249654038619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BC-4686-837C-F4B5F6172891}"/>
                </c:ext>
              </c:extLst>
            </c:dLbl>
            <c:dLbl>
              <c:idx val="2"/>
              <c:layout>
                <c:manualLayout>
                  <c:x val="-7.9611801843199922E-2"/>
                  <c:y val="-8.1177080450321858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9BC-4686-837C-F4B5F6172891}"/>
                </c:ext>
              </c:extLst>
            </c:dLbl>
            <c:dLbl>
              <c:idx val="3"/>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407559550772486"/>
                      <c:h val="0.11083164320947331"/>
                    </c:manualLayout>
                  </c15:layout>
                </c:ext>
                <c:ext xmlns:c16="http://schemas.microsoft.com/office/drawing/2014/chart" uri="{C3380CC4-5D6E-409C-BE32-E72D297353CC}">
                  <c16:uniqueId val="{00000007-49BC-4686-837C-F4B5F617289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Databases'!$A$2:$A$5</c:f>
              <c:strCache>
                <c:ptCount val="4"/>
                <c:pt idx="0">
                  <c:v>IEEE Xplore</c:v>
                </c:pt>
                <c:pt idx="1">
                  <c:v>Scopus</c:v>
                </c:pt>
                <c:pt idx="2">
                  <c:v>ScienceDirect</c:v>
                </c:pt>
                <c:pt idx="3">
                  <c:v>Web of Science</c:v>
                </c:pt>
              </c:strCache>
            </c:strRef>
          </c:cat>
          <c:val>
            <c:numRef>
              <c:f>'# Databases'!$D$2:$D$5</c:f>
              <c:numCache>
                <c:formatCode>General</c:formatCode>
                <c:ptCount val="4"/>
                <c:pt idx="0">
                  <c:v>26</c:v>
                </c:pt>
                <c:pt idx="1">
                  <c:v>25</c:v>
                </c:pt>
                <c:pt idx="2">
                  <c:v>21</c:v>
                </c:pt>
                <c:pt idx="3">
                  <c:v>68</c:v>
                </c:pt>
              </c:numCache>
            </c:numRef>
          </c:val>
          <c:extLst>
            <c:ext xmlns:c16="http://schemas.microsoft.com/office/drawing/2014/chart" uri="{C3380CC4-5D6E-409C-BE32-E72D297353CC}">
              <c16:uniqueId val="{0000000C-49BC-4686-837C-F4B5F617289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ADC-4A5D-9991-1FE2404F860D}"/>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ADC-4A5D-9991-1FE2404F860D}"/>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ADC-4A5D-9991-1FE2404F860D}"/>
              </c:ext>
            </c:extLst>
          </c:dPt>
          <c:dPt>
            <c:idx val="3"/>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ADC-4A5D-9991-1FE2404F860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ADC-4A5D-9991-1FE2404F860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ADC-4A5D-9991-1FE2404F860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ADC-4A5D-9991-1FE2404F860D}"/>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2ADC-4A5D-9991-1FE2404F860D}"/>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Databases'!$A$2:$A$5</c:f>
              <c:strCache>
                <c:ptCount val="4"/>
                <c:pt idx="0">
                  <c:v>IEEE Xplore</c:v>
                </c:pt>
                <c:pt idx="1">
                  <c:v>Scopus</c:v>
                </c:pt>
                <c:pt idx="2">
                  <c:v>ScienceDirect</c:v>
                </c:pt>
                <c:pt idx="3">
                  <c:v>Web of Science</c:v>
                </c:pt>
              </c:strCache>
            </c:strRef>
          </c:cat>
          <c:val>
            <c:numRef>
              <c:f>'# Databases'!$F$2:$F$5</c:f>
              <c:numCache>
                <c:formatCode>General</c:formatCode>
                <c:ptCount val="4"/>
                <c:pt idx="0">
                  <c:v>8</c:v>
                </c:pt>
                <c:pt idx="1">
                  <c:v>20</c:v>
                </c:pt>
                <c:pt idx="2">
                  <c:v>10</c:v>
                </c:pt>
                <c:pt idx="3">
                  <c:v>13</c:v>
                </c:pt>
              </c:numCache>
            </c:numRef>
          </c:val>
          <c:extLst>
            <c:ext xmlns:c16="http://schemas.microsoft.com/office/drawing/2014/chart" uri="{C3380CC4-5D6E-409C-BE32-E72D297353CC}">
              <c16:uniqueId val="{0000000C-2ADC-4A5D-9991-1FE2404F860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030A0"/>
            </a:solidFill>
            <a:ln>
              <a:noFill/>
            </a:ln>
            <a:effectLst>
              <a:outerShdw blurRad="57150" dist="19050" dir="5400000" sx="1000" sy="1000" algn="ctr" rotWithShape="0">
                <a:srgbClr val="000000"/>
              </a:outerShdw>
            </a:effectLst>
          </c:spPr>
          <c:invertIfNegative val="0"/>
          <c:dPt>
            <c:idx val="7"/>
            <c:invertIfNegative val="0"/>
            <c:bubble3D val="0"/>
            <c:spPr>
              <a:solidFill>
                <a:srgbClr val="7030A0"/>
              </a:solid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1-654F-454B-9C09-5901126DBB9C}"/>
              </c:ext>
            </c:extLst>
          </c:dPt>
          <c:dPt>
            <c:idx val="8"/>
            <c:invertIfNegative val="0"/>
            <c:bubble3D val="0"/>
            <c:spPr>
              <a:solidFill>
                <a:srgbClr val="7030A0"/>
              </a:solid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3-654F-454B-9C09-5901126DBB9C}"/>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'#Publisher'!$A$2:$A$11</c:f>
              <c:strCache>
                <c:ptCount val="10"/>
                <c:pt idx="0">
                  <c:v>IEEE</c:v>
                </c:pt>
                <c:pt idx="1">
                  <c:v>Elsevier</c:v>
                </c:pt>
                <c:pt idx="2">
                  <c:v>Springer</c:v>
                </c:pt>
                <c:pt idx="3">
                  <c:v>MDPI</c:v>
                </c:pt>
                <c:pt idx="4">
                  <c:v>SPIE</c:v>
                </c:pt>
                <c:pt idx="5">
                  <c:v>CRC Press</c:v>
                </c:pt>
                <c:pt idx="6">
                  <c:v>Wiley</c:v>
                </c:pt>
                <c:pt idx="7">
                  <c:v>Maruzen</c:v>
                </c:pt>
                <c:pt idx="8">
                  <c:v>PeerJ</c:v>
                </c:pt>
                <c:pt idx="9">
                  <c:v>IIETA</c:v>
                </c:pt>
              </c:strCache>
            </c:strRef>
          </c:cat>
          <c:val>
            <c:numRef>
              <c:f>'#Publisher'!$B$2:$B$11</c:f>
              <c:numCache>
                <c:formatCode>General</c:formatCode>
                <c:ptCount val="10"/>
                <c:pt idx="0">
                  <c:v>22</c:v>
                </c:pt>
                <c:pt idx="1">
                  <c:v>11</c:v>
                </c:pt>
                <c:pt idx="2">
                  <c:v>6</c:v>
                </c:pt>
                <c:pt idx="3">
                  <c:v>5</c:v>
                </c:pt>
                <c:pt idx="4">
                  <c:v>2</c:v>
                </c:pt>
                <c:pt idx="5">
                  <c:v>1</c:v>
                </c:pt>
                <c:pt idx="6">
                  <c:v>1</c:v>
                </c:pt>
                <c:pt idx="7">
                  <c:v>1</c:v>
                </c:pt>
                <c:pt idx="8">
                  <c:v>1</c:v>
                </c:pt>
                <c:pt idx="9">
                  <c:v>1</c:v>
                </c:pt>
              </c:numCache>
            </c:numRef>
          </c:val>
          <c:extLst>
            <c:ext xmlns:c16="http://schemas.microsoft.com/office/drawing/2014/chart" uri="{C3380CC4-5D6E-409C-BE32-E72D297353CC}">
              <c16:uniqueId val="{00000004-654F-454B-9C09-5901126DBB9C}"/>
            </c:ext>
          </c:extLst>
        </c:ser>
        <c:dLbls>
          <c:dLblPos val="outEnd"/>
          <c:showLegendKey val="0"/>
          <c:showVal val="1"/>
          <c:showCatName val="0"/>
          <c:showSerName val="0"/>
          <c:showPercent val="0"/>
          <c:showBubbleSize val="0"/>
        </c:dLbls>
        <c:gapWidth val="100"/>
        <c:overlap val="-24"/>
        <c:axId val="310563407"/>
        <c:axId val="310561967"/>
      </c:barChart>
      <c:catAx>
        <c:axId val="310563407"/>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MY" sz="1200" b="0"/>
                  <a:t>Publisher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10561967"/>
        <c:crosses val="autoZero"/>
        <c:auto val="1"/>
        <c:lblAlgn val="ctr"/>
        <c:lblOffset val="100"/>
        <c:noMultiLvlLbl val="0"/>
      </c:catAx>
      <c:valAx>
        <c:axId val="31056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MY" sz="1200" b="0"/>
                  <a:t>Number of Publications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563407"/>
        <c:crosses val="autoZero"/>
        <c:crossBetween val="between"/>
      </c:valAx>
      <c:spPr>
        <a:noFill/>
        <a:ln>
          <a:noFill/>
        </a:ln>
        <a:effectLst/>
      </c:spPr>
    </c:plotArea>
    <c:plotVisOnly val="1"/>
    <c:dispBlanksAs val="gap"/>
    <c:showDLblsOverMax val="0"/>
  </c:chart>
  <c:spPr>
    <a:pattFill prst="pct5">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C1-4ABC-B1AD-34566F019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C1-4ABC-B1AD-34566F0197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D3-41D6-940E-F52B0866E37D}"/>
              </c:ext>
            </c:extLst>
          </c:dPt>
          <c:dLbls>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1-61C1-4ABC-B1AD-34566F0197B7}"/>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Reference Type'!$A$2:$A$4</c:f>
              <c:strCache>
                <c:ptCount val="3"/>
                <c:pt idx="0">
                  <c:v>Journal Article</c:v>
                </c:pt>
                <c:pt idx="1">
                  <c:v>Conference Proceedings</c:v>
                </c:pt>
                <c:pt idx="2">
                  <c:v>Book Section</c:v>
                </c:pt>
              </c:strCache>
            </c:strRef>
          </c:cat>
          <c:val>
            <c:numRef>
              <c:f>'# Reference Type'!$B$2:$B$4</c:f>
              <c:numCache>
                <c:formatCode>General</c:formatCode>
                <c:ptCount val="3"/>
                <c:pt idx="0">
                  <c:v>27</c:v>
                </c:pt>
                <c:pt idx="1">
                  <c:v>23</c:v>
                </c:pt>
                <c:pt idx="2">
                  <c:v>1</c:v>
                </c:pt>
              </c:numCache>
            </c:numRef>
          </c:val>
          <c:extLst>
            <c:ext xmlns:c16="http://schemas.microsoft.com/office/drawing/2014/chart" uri="{C3380CC4-5D6E-409C-BE32-E72D297353CC}">
              <c16:uniqueId val="{00000004-61C1-4ABC-B1AD-34566F0197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verticalDpi="3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MY"/>
              <a:t>B</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75000"/>
              </a:schemeClr>
            </a:solidFill>
            <a:ln>
              <a:noFill/>
            </a:ln>
            <a:effectLst>
              <a:outerShdw sx="1000" sy="1000" algn="ctr" rotWithShape="0">
                <a:srgbClr val="000000"/>
              </a:outerShdw>
            </a:effectLst>
          </c:spPr>
          <c:invertIfNegative val="0"/>
          <c:dPt>
            <c:idx val="0"/>
            <c:invertIfNegative val="0"/>
            <c:bubble3D val="0"/>
            <c:extLst>
              <c:ext xmlns:c16="http://schemas.microsoft.com/office/drawing/2014/chart" uri="{C3380CC4-5D6E-409C-BE32-E72D297353CC}">
                <c16:uniqueId val="{00000000-5CA2-416A-B802-A3601E5BE1BD}"/>
              </c:ext>
            </c:extLst>
          </c:dPt>
          <c:dPt>
            <c:idx val="1"/>
            <c:invertIfNegative val="0"/>
            <c:bubble3D val="0"/>
            <c:extLst>
              <c:ext xmlns:c16="http://schemas.microsoft.com/office/drawing/2014/chart" uri="{C3380CC4-5D6E-409C-BE32-E72D297353CC}">
                <c16:uniqueId val="{00000001-5CA2-416A-B802-A3601E5BE1BD}"/>
              </c:ext>
            </c:extLst>
          </c:dPt>
          <c:dPt>
            <c:idx val="2"/>
            <c:invertIfNegative val="0"/>
            <c:bubble3D val="0"/>
            <c:extLst>
              <c:ext xmlns:c16="http://schemas.microsoft.com/office/drawing/2014/chart" uri="{C3380CC4-5D6E-409C-BE32-E72D297353CC}">
                <c16:uniqueId val="{00000002-5CA2-416A-B802-A3601E5BE1BD}"/>
              </c:ext>
            </c:extLst>
          </c:dPt>
          <c:dPt>
            <c:idx val="4"/>
            <c:invertIfNegative val="0"/>
            <c:bubble3D val="0"/>
            <c:extLst>
              <c:ext xmlns:c16="http://schemas.microsoft.com/office/drawing/2014/chart" uri="{C3380CC4-5D6E-409C-BE32-E72D297353CC}">
                <c16:uniqueId val="{00000003-A4C7-4F6B-8321-D4FFAE1BE6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 Years'!$A$2:$A$6</c:f>
              <c:numCache>
                <c:formatCode>General</c:formatCode>
                <c:ptCount val="5"/>
                <c:pt idx="0">
                  <c:v>2020</c:v>
                </c:pt>
                <c:pt idx="1">
                  <c:v>2021</c:v>
                </c:pt>
                <c:pt idx="2">
                  <c:v>2022</c:v>
                </c:pt>
                <c:pt idx="3">
                  <c:v>2023</c:v>
                </c:pt>
                <c:pt idx="4">
                  <c:v>2024</c:v>
                </c:pt>
              </c:numCache>
            </c:numRef>
          </c:cat>
          <c:val>
            <c:numRef>
              <c:f>'# Years'!$C$2:$C$6</c:f>
              <c:numCache>
                <c:formatCode>General</c:formatCode>
                <c:ptCount val="5"/>
                <c:pt idx="0">
                  <c:v>3</c:v>
                </c:pt>
                <c:pt idx="1">
                  <c:v>10</c:v>
                </c:pt>
                <c:pt idx="2">
                  <c:v>15</c:v>
                </c:pt>
                <c:pt idx="3">
                  <c:v>20</c:v>
                </c:pt>
                <c:pt idx="4">
                  <c:v>3</c:v>
                </c:pt>
              </c:numCache>
            </c:numRef>
          </c:val>
          <c:extLst>
            <c:ext xmlns:c16="http://schemas.microsoft.com/office/drawing/2014/chart" uri="{C3380CC4-5D6E-409C-BE32-E72D297353CC}">
              <c16:uniqueId val="{00000005-5CA2-416A-B802-A3601E5BE1BD}"/>
            </c:ext>
          </c:extLst>
        </c:ser>
        <c:dLbls>
          <c:dLblPos val="outEnd"/>
          <c:showLegendKey val="0"/>
          <c:showVal val="1"/>
          <c:showCatName val="0"/>
          <c:showSerName val="0"/>
          <c:showPercent val="0"/>
          <c:showBubbleSize val="0"/>
        </c:dLbls>
        <c:gapWidth val="100"/>
        <c:overlap val="-24"/>
        <c:axId val="89306768"/>
        <c:axId val="2043628528"/>
      </c:barChart>
      <c:catAx>
        <c:axId val="893067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Year</a:t>
                </a:r>
                <a:endParaRPr lang="en-MY" b="1"/>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28528"/>
        <c:crosses val="autoZero"/>
        <c:auto val="1"/>
        <c:lblAlgn val="ctr"/>
        <c:lblOffset val="100"/>
        <c:noMultiLvlLbl val="0"/>
      </c:catAx>
      <c:valAx>
        <c:axId val="204362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MY" b="0"/>
                  <a:t>Number of Included Publications</a:t>
                </a:r>
              </a:p>
            </c:rich>
          </c:tx>
          <c:layout>
            <c:manualLayout>
              <c:xMode val="edge"/>
              <c:yMode val="edge"/>
              <c:x val="2.6147890685345822E-2"/>
              <c:y val="0.187491283923714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MY"/>
              <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75000"/>
              </a:schemeClr>
            </a:solidFill>
            <a:ln>
              <a:noFill/>
            </a:ln>
            <a:effectLst>
              <a:outerShdw blurRad="57150" dist="19050" dir="5400000" sx="1000" sy="1000" algn="ctr" rotWithShape="0">
                <a:srgbClr val="000000"/>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 Years'!$A$2:$A$6</c:f>
              <c:numCache>
                <c:formatCode>General</c:formatCode>
                <c:ptCount val="5"/>
                <c:pt idx="0">
                  <c:v>2020</c:v>
                </c:pt>
                <c:pt idx="1">
                  <c:v>2021</c:v>
                </c:pt>
                <c:pt idx="2">
                  <c:v>2022</c:v>
                </c:pt>
                <c:pt idx="3">
                  <c:v>2023</c:v>
                </c:pt>
                <c:pt idx="4">
                  <c:v>2024</c:v>
                </c:pt>
              </c:numCache>
            </c:numRef>
          </c:cat>
          <c:val>
            <c:numRef>
              <c:f>'# Years'!$B$2:$B$6</c:f>
              <c:numCache>
                <c:formatCode>General</c:formatCode>
                <c:ptCount val="5"/>
                <c:pt idx="0">
                  <c:v>15</c:v>
                </c:pt>
                <c:pt idx="1">
                  <c:v>66</c:v>
                </c:pt>
                <c:pt idx="2">
                  <c:v>148</c:v>
                </c:pt>
                <c:pt idx="3">
                  <c:v>175</c:v>
                </c:pt>
                <c:pt idx="4">
                  <c:v>23</c:v>
                </c:pt>
              </c:numCache>
            </c:numRef>
          </c:val>
          <c:extLst>
            <c:ext xmlns:c16="http://schemas.microsoft.com/office/drawing/2014/chart" uri="{C3380CC4-5D6E-409C-BE32-E72D297353CC}">
              <c16:uniqueId val="{00000000-1A1D-477E-906D-8E56FC603E4A}"/>
            </c:ext>
          </c:extLst>
        </c:ser>
        <c:dLbls>
          <c:dLblPos val="outEnd"/>
          <c:showLegendKey val="0"/>
          <c:showVal val="1"/>
          <c:showCatName val="0"/>
          <c:showSerName val="0"/>
          <c:showPercent val="0"/>
          <c:showBubbleSize val="0"/>
        </c:dLbls>
        <c:gapWidth val="100"/>
        <c:overlap val="-24"/>
        <c:axId val="89306768"/>
        <c:axId val="2043628528"/>
      </c:barChart>
      <c:catAx>
        <c:axId val="893067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Year</a:t>
                </a:r>
                <a:endParaRPr lang="en-MY" b="1"/>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28528"/>
        <c:crosses val="autoZero"/>
        <c:auto val="1"/>
        <c:lblAlgn val="ctr"/>
        <c:lblOffset val="100"/>
        <c:noMultiLvlLbl val="0"/>
      </c:catAx>
      <c:valAx>
        <c:axId val="204362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MY" b="0"/>
                  <a:t>Number of Identified Publications</a:t>
                </a:r>
              </a:p>
            </c:rich>
          </c:tx>
          <c:layout>
            <c:manualLayout>
              <c:xMode val="edge"/>
              <c:yMode val="edge"/>
              <c:x val="2.1789901427290016E-2"/>
              <c:y val="0.1871974542718282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 Years'!$B$1</c:f>
              <c:strCache>
                <c:ptCount val="1"/>
                <c:pt idx="0">
                  <c:v># of papers identified</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dLbl>
              <c:idx val="0"/>
              <c:layout>
                <c:manualLayout>
                  <c:x val="-2.627897310547106E-2"/>
                  <c:y val="-8.60046576516018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7D-4DF2-B057-1A0866FF2C5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xVal>
            <c:numRef>
              <c:f>'# Years'!$A$2:$A$6</c:f>
              <c:numCache>
                <c:formatCode>General</c:formatCode>
                <c:ptCount val="5"/>
                <c:pt idx="0">
                  <c:v>2020</c:v>
                </c:pt>
                <c:pt idx="1">
                  <c:v>2021</c:v>
                </c:pt>
                <c:pt idx="2">
                  <c:v>2022</c:v>
                </c:pt>
                <c:pt idx="3">
                  <c:v>2023</c:v>
                </c:pt>
                <c:pt idx="4">
                  <c:v>2024</c:v>
                </c:pt>
              </c:numCache>
            </c:numRef>
          </c:xVal>
          <c:yVal>
            <c:numRef>
              <c:f>'# Years'!$B$2:$B$6</c:f>
              <c:numCache>
                <c:formatCode>General</c:formatCode>
                <c:ptCount val="5"/>
                <c:pt idx="0">
                  <c:v>15</c:v>
                </c:pt>
                <c:pt idx="1">
                  <c:v>66</c:v>
                </c:pt>
                <c:pt idx="2">
                  <c:v>148</c:v>
                </c:pt>
                <c:pt idx="3">
                  <c:v>175</c:v>
                </c:pt>
                <c:pt idx="4">
                  <c:v>23</c:v>
                </c:pt>
              </c:numCache>
            </c:numRef>
          </c:yVal>
          <c:smooth val="1"/>
          <c:extLst>
            <c:ext xmlns:c16="http://schemas.microsoft.com/office/drawing/2014/chart" uri="{C3380CC4-5D6E-409C-BE32-E72D297353CC}">
              <c16:uniqueId val="{00000002-077D-4DF2-B057-1A0866FF2C51}"/>
            </c:ext>
          </c:extLst>
        </c:ser>
        <c:ser>
          <c:idx val="1"/>
          <c:order val="1"/>
          <c:tx>
            <c:strRef>
              <c:f>'# Years'!$C$1</c:f>
              <c:strCache>
                <c:ptCount val="1"/>
                <c:pt idx="0">
                  <c:v># of papers included</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dLbl>
              <c:idx val="0"/>
              <c:layout>
                <c:manualLayout>
                  <c:x val="-7.17054298065255E-2"/>
                  <c:y val="-5.0580353577532017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3.6673163815727168E-2"/>
                      <c:h val="5.3780373776630357E-2"/>
                    </c:manualLayout>
                  </c15:layout>
                </c:ext>
                <c:ext xmlns:c16="http://schemas.microsoft.com/office/drawing/2014/chart" uri="{C3380CC4-5D6E-409C-BE32-E72D297353CC}">
                  <c16:uniqueId val="{00000003-077D-4DF2-B057-1A0866FF2C51}"/>
                </c:ext>
              </c:extLst>
            </c:dLbl>
            <c:dLbl>
              <c:idx val="1"/>
              <c:layout>
                <c:manualLayout>
                  <c:x val="-7.1762325596323812E-2"/>
                  <c:y val="-3.47032036154190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7D-4DF2-B057-1A0866FF2C5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xVal>
            <c:numRef>
              <c:f>'# Years'!$A$2:$A$6</c:f>
              <c:numCache>
                <c:formatCode>General</c:formatCode>
                <c:ptCount val="5"/>
                <c:pt idx="0">
                  <c:v>2020</c:v>
                </c:pt>
                <c:pt idx="1">
                  <c:v>2021</c:v>
                </c:pt>
                <c:pt idx="2">
                  <c:v>2022</c:v>
                </c:pt>
                <c:pt idx="3">
                  <c:v>2023</c:v>
                </c:pt>
                <c:pt idx="4">
                  <c:v>2024</c:v>
                </c:pt>
              </c:numCache>
            </c:numRef>
          </c:xVal>
          <c:yVal>
            <c:numRef>
              <c:f>'# Years'!$C$2:$C$6</c:f>
              <c:numCache>
                <c:formatCode>General</c:formatCode>
                <c:ptCount val="5"/>
                <c:pt idx="0">
                  <c:v>3</c:v>
                </c:pt>
                <c:pt idx="1">
                  <c:v>10</c:v>
                </c:pt>
                <c:pt idx="2">
                  <c:v>15</c:v>
                </c:pt>
                <c:pt idx="3">
                  <c:v>20</c:v>
                </c:pt>
                <c:pt idx="4">
                  <c:v>3</c:v>
                </c:pt>
              </c:numCache>
            </c:numRef>
          </c:yVal>
          <c:smooth val="1"/>
          <c:extLst>
            <c:ext xmlns:c16="http://schemas.microsoft.com/office/drawing/2014/chart" uri="{C3380CC4-5D6E-409C-BE32-E72D297353CC}">
              <c16:uniqueId val="{00000006-077D-4DF2-B057-1A0866FF2C51}"/>
            </c:ext>
          </c:extLst>
        </c:ser>
        <c:dLbls>
          <c:dLblPos val="t"/>
          <c:showLegendKey val="0"/>
          <c:showVal val="1"/>
          <c:showCatName val="0"/>
          <c:showSerName val="0"/>
          <c:showPercent val="0"/>
          <c:showBubbleSize val="0"/>
        </c:dLbls>
        <c:axId val="103977887"/>
        <c:axId val="1570756335"/>
      </c:scatterChart>
      <c:valAx>
        <c:axId val="1039778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MY" b="1"/>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56335"/>
        <c:crosses val="autoZero"/>
        <c:crossBetween val="midCat"/>
      </c:valAx>
      <c:valAx>
        <c:axId val="1570756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MY" b="1"/>
                  <a:t>Publications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788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pattFill prst="pct5">
      <a:fgClr>
        <a:schemeClr val="accent3">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5">
                <a:lumMod val="75000"/>
              </a:schemeClr>
            </a:solidFill>
            <a:ln>
              <a:noFill/>
            </a:ln>
            <a:effectLst>
              <a:outerShdw blurRad="57150" dist="19050" dir="5400000" sx="1000" sy="1000" algn="ctr" rotWithShape="0">
                <a:srgbClr val="000000"/>
              </a:outerShdw>
            </a:effectLst>
          </c:spPr>
          <c:invertIfNegative val="0"/>
          <c:dPt>
            <c:idx val="7"/>
            <c:invertIfNegative val="0"/>
            <c:bubble3D val="0"/>
            <c:spPr>
              <a:solidFill>
                <a:schemeClr val="accent6">
                  <a:lumMod val="75000"/>
                </a:schemeClr>
              </a:solid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1-5408-4326-A559-DEFD8BE2536F}"/>
              </c:ext>
            </c:extLst>
          </c:dPt>
          <c:dPt>
            <c:idx val="8"/>
            <c:invertIfNegative val="0"/>
            <c:bubble3D val="0"/>
            <c:spPr>
              <a:solidFill>
                <a:schemeClr val="accent6">
                  <a:lumMod val="75000"/>
                </a:schemeClr>
              </a:solidFill>
              <a:ln>
                <a:noFill/>
              </a:ln>
              <a:effectLst>
                <a:outerShdw blurRad="57150" dist="19050" dir="5400000" sx="1000" sy="1000" algn="ctr" rotWithShape="0">
                  <a:srgbClr val="000000"/>
                </a:outerShdw>
              </a:effectLst>
            </c:spPr>
            <c:extLst>
              <c:ext xmlns:c16="http://schemas.microsoft.com/office/drawing/2014/chart" uri="{C3380CC4-5D6E-409C-BE32-E72D297353CC}">
                <c16:uniqueId val="{00000003-5408-4326-A559-DEFD8BE2536F}"/>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 E&amp;QA'!$A$2:$A$10</c:f>
              <c:numCache>
                <c:formatCode>General</c:formatCode>
                <c:ptCount val="9"/>
                <c:pt idx="0">
                  <c:v>0</c:v>
                </c:pt>
                <c:pt idx="1">
                  <c:v>0.5</c:v>
                </c:pt>
                <c:pt idx="2">
                  <c:v>1</c:v>
                </c:pt>
                <c:pt idx="3">
                  <c:v>1.5</c:v>
                </c:pt>
                <c:pt idx="4">
                  <c:v>2</c:v>
                </c:pt>
                <c:pt idx="5">
                  <c:v>2.5</c:v>
                </c:pt>
                <c:pt idx="6">
                  <c:v>3</c:v>
                </c:pt>
                <c:pt idx="7">
                  <c:v>3.5</c:v>
                </c:pt>
                <c:pt idx="8">
                  <c:v>4</c:v>
                </c:pt>
              </c:numCache>
            </c:numRef>
          </c:cat>
          <c:val>
            <c:numRef>
              <c:f>'# E&amp;QA'!$B$2:$B$10</c:f>
              <c:numCache>
                <c:formatCode>General</c:formatCode>
                <c:ptCount val="9"/>
                <c:pt idx="0">
                  <c:v>0</c:v>
                </c:pt>
                <c:pt idx="1">
                  <c:v>3</c:v>
                </c:pt>
                <c:pt idx="2">
                  <c:v>5</c:v>
                </c:pt>
                <c:pt idx="3">
                  <c:v>38</c:v>
                </c:pt>
                <c:pt idx="4">
                  <c:v>28</c:v>
                </c:pt>
                <c:pt idx="5">
                  <c:v>10</c:v>
                </c:pt>
                <c:pt idx="6">
                  <c:v>5</c:v>
                </c:pt>
                <c:pt idx="7">
                  <c:v>15</c:v>
                </c:pt>
                <c:pt idx="8">
                  <c:v>37</c:v>
                </c:pt>
              </c:numCache>
            </c:numRef>
          </c:val>
          <c:extLst>
            <c:ext xmlns:c16="http://schemas.microsoft.com/office/drawing/2014/chart" uri="{C3380CC4-5D6E-409C-BE32-E72D297353CC}">
              <c16:uniqueId val="{00000004-5408-4326-A559-DEFD8BE2536F}"/>
            </c:ext>
          </c:extLst>
        </c:ser>
        <c:dLbls>
          <c:dLblPos val="outEnd"/>
          <c:showLegendKey val="0"/>
          <c:showVal val="1"/>
          <c:showCatName val="0"/>
          <c:showSerName val="0"/>
          <c:showPercent val="0"/>
          <c:showBubbleSize val="0"/>
        </c:dLbls>
        <c:gapWidth val="100"/>
        <c:overlap val="-24"/>
        <c:axId val="310563407"/>
        <c:axId val="310561967"/>
      </c:barChart>
      <c:catAx>
        <c:axId val="310563407"/>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MY" sz="1200" b="0"/>
                  <a:t>Quality and Eligibility Score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10561967"/>
        <c:crosses val="autoZero"/>
        <c:auto val="1"/>
        <c:lblAlgn val="ctr"/>
        <c:lblOffset val="100"/>
        <c:noMultiLvlLbl val="0"/>
      </c:catAx>
      <c:valAx>
        <c:axId val="31056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MY" sz="1200" b="0"/>
                  <a:t>Number of Publications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563407"/>
        <c:crosses val="autoZero"/>
        <c:crossBetween val="between"/>
      </c:valAx>
      <c:spPr>
        <a:noFill/>
        <a:ln>
          <a:noFill/>
        </a:ln>
        <a:effectLst/>
      </c:spPr>
    </c:plotArea>
    <c:plotVisOnly val="1"/>
    <c:dispBlanksAs val="gap"/>
    <c:showDLblsOverMax val="0"/>
  </c:chart>
  <c:spPr>
    <a:pattFill prst="pct5">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DDE-4634-B91B-739E2D50E61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C8D-4C20-A15F-153734BAF35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C8D-4C20-A15F-153734BAF35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8C8D-4C20-A15F-153734BAF35B}"/>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8C8D-4C20-A15F-153734BAF35B}"/>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8C8D-4C20-A15F-153734BAF35B}"/>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8C8D-4C20-A15F-153734BAF35B}"/>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8C8D-4C20-A15F-153734BAF35B}"/>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8C8D-4C20-A15F-153734BAF35B}"/>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8C8D-4C20-A15F-153734BAF35B}"/>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8C8D-4C20-A15F-153734BAF35B}"/>
              </c:ext>
            </c:extLst>
          </c:dPt>
          <c:dPt>
            <c:idx val="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7-8C8D-4C20-A15F-153734BAF35B}"/>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8C8D-4C20-A15F-153734BAF35B}"/>
              </c:ext>
            </c:extLst>
          </c:dPt>
          <c:dPt>
            <c:idx val="1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B-8C8D-4C20-A15F-153734BAF35B}"/>
              </c:ext>
            </c:extLst>
          </c:dPt>
          <c:dPt>
            <c:idx val="1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D-8C8D-4C20-A15F-153734BAF35B}"/>
              </c:ext>
            </c:extLst>
          </c:dPt>
          <c:dPt>
            <c:idx val="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1F-8C8D-4C20-A15F-153734BAF35B}"/>
              </c:ext>
            </c:extLst>
          </c:dPt>
          <c:dPt>
            <c:idx val="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1-8C8D-4C20-A15F-153734BAF35B}"/>
              </c:ext>
            </c:extLst>
          </c:dPt>
          <c:dPt>
            <c:idx val="1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3-8C8D-4C20-A15F-153734BAF35B}"/>
              </c:ext>
            </c:extLst>
          </c:dPt>
          <c:dPt>
            <c:idx val="18"/>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25-8C8D-4C20-A15F-153734BAF35B}"/>
              </c:ext>
            </c:extLst>
          </c:dPt>
          <c:dPt>
            <c:idx val="19"/>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27-8C8D-4C20-A15F-153734BAF3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Variations!$A$2:$A$21</c:f>
              <c:strCache>
                <c:ptCount val="20"/>
                <c:pt idx="0">
                  <c:v>|Grad-CAM|</c:v>
                </c:pt>
                <c:pt idx="1">
                  <c:v>|Grad-CAM++|</c:v>
                </c:pt>
                <c:pt idx="2">
                  <c:v>|Guided Grad-CAM|</c:v>
                </c:pt>
                <c:pt idx="3">
                  <c:v>|LIME|</c:v>
                </c:pt>
                <c:pt idx="4">
                  <c:v>|Ablation-CAM|</c:v>
                </c:pt>
                <c:pt idx="5">
                  <c:v>|CAM|</c:v>
                </c:pt>
                <c:pt idx="6">
                  <c:v>|DGXAINet|</c:v>
                </c:pt>
                <c:pt idx="7">
                  <c:v>|EigenGrad-CAM|</c:v>
                </c:pt>
                <c:pt idx="8">
                  <c:v>|FEM|</c:v>
                </c:pt>
                <c:pt idx="9">
                  <c:v>|Grad-CAM-based RFS (GRFS)|</c:v>
                </c:pt>
                <c:pt idx="10">
                  <c:v>|HayCAM|</c:v>
                </c:pt>
                <c:pt idx="11">
                  <c:v>|LayersCAM|</c:v>
                </c:pt>
                <c:pt idx="12">
                  <c:v>|Mask Grad-CAM|</c:v>
                </c:pt>
                <c:pt idx="13">
                  <c:v>|Random-CAM|</c:v>
                </c:pt>
                <c:pt idx="14">
                  <c:v>|RISE|</c:v>
                </c:pt>
                <c:pt idx="15">
                  <c:v>|saliency map|</c:v>
                </c:pt>
                <c:pt idx="16">
                  <c:v>|SeCAM|</c:v>
                </c:pt>
                <c:pt idx="17">
                  <c:v>|SHAP|</c:v>
                </c:pt>
                <c:pt idx="18">
                  <c:v>|Squaregrid|</c:v>
                </c:pt>
                <c:pt idx="19">
                  <c:v>|TS-CNN|</c:v>
                </c:pt>
              </c:strCache>
            </c:strRef>
          </c:cat>
          <c:val>
            <c:numRef>
              <c:f>Variations!$B$2:$B$21</c:f>
              <c:numCache>
                <c:formatCode>General</c:formatCode>
                <c:ptCount val="20"/>
                <c:pt idx="0">
                  <c:v>38</c:v>
                </c:pt>
                <c:pt idx="1">
                  <c:v>9</c:v>
                </c:pt>
                <c:pt idx="2">
                  <c:v>3</c:v>
                </c:pt>
                <c:pt idx="3">
                  <c:v>3</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2-DDDE-4634-B91B-739E2D50E61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lumMod val="40000"/>
          <a:lumOff val="60000"/>
        </a:schemeClr>
      </a:fgClr>
      <a:bgClr>
        <a:schemeClr val="bg1"/>
      </a:bgClr>
    </a:pattFill>
    <a:ln w="12700" cap="flat" cmpd="sng" algn="ctr">
      <a:solidFill>
        <a:schemeClr val="bg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Metrics!$B$1</c:f>
              <c:strCache>
                <c:ptCount val="1"/>
                <c:pt idx="0">
                  <c:v># of papers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520-4D27-8A04-1964407268C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520-4D27-8A04-1964407268C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520-4D27-8A04-1964407268C5}"/>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A520-4D27-8A04-1964407268C5}"/>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A520-4D27-8A04-1964407268C5}"/>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A520-4D27-8A04-1964407268C5}"/>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A520-4D27-8A04-1964407268C5}"/>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A520-4D27-8A04-1964407268C5}"/>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A520-4D27-8A04-1964407268C5}"/>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A520-4D27-8A04-1964407268C5}"/>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A520-4D27-8A04-1964407268C5}"/>
              </c:ext>
            </c:extLst>
          </c:dPt>
          <c:dPt>
            <c:idx val="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7-A520-4D27-8A04-1964407268C5}"/>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D120-44BB-AC63-D22711507E6B}"/>
              </c:ext>
            </c:extLst>
          </c:dPt>
          <c:dPt>
            <c:idx val="1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B-D120-44BB-AC63-D22711507E6B}"/>
              </c:ext>
            </c:extLst>
          </c:dPt>
          <c:dPt>
            <c:idx val="1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D-D120-44BB-AC63-D22711507E6B}"/>
              </c:ext>
            </c:extLst>
          </c:dPt>
          <c:dPt>
            <c:idx val="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1F-D120-44BB-AC63-D22711507E6B}"/>
              </c:ext>
            </c:extLst>
          </c:dPt>
          <c:dPt>
            <c:idx val="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1-D120-44BB-AC63-D22711507E6B}"/>
              </c:ext>
            </c:extLst>
          </c:dPt>
          <c:dPt>
            <c:idx val="1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3-D120-44BB-AC63-D22711507E6B}"/>
              </c:ext>
            </c:extLst>
          </c:dPt>
          <c:dPt>
            <c:idx val="18"/>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25-D120-44BB-AC63-D22711507E6B}"/>
              </c:ext>
            </c:extLst>
          </c:dPt>
          <c:dPt>
            <c:idx val="19"/>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27-D120-44BB-AC63-D22711507E6B}"/>
              </c:ext>
            </c:extLst>
          </c:dPt>
          <c:dPt>
            <c:idx val="20"/>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29-D120-44BB-AC63-D22711507E6B}"/>
              </c:ext>
            </c:extLst>
          </c:dPt>
          <c:dPt>
            <c:idx val="2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2B-EE0D-4F66-AF12-177A788359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Metrics!$A$2:$A$23</c:f>
              <c:strCache>
                <c:ptCount val="22"/>
                <c:pt idx="0">
                  <c:v>Accuracy</c:v>
                </c:pt>
                <c:pt idx="1">
                  <c:v>F1-Score</c:v>
                </c:pt>
                <c:pt idx="2">
                  <c:v>Precision</c:v>
                </c:pt>
                <c:pt idx="3">
                  <c:v>Recall</c:v>
                </c:pt>
                <c:pt idx="4">
                  <c:v>AUC</c:v>
                </c:pt>
                <c:pt idx="5">
                  <c:v>Specificity</c:v>
                </c:pt>
                <c:pt idx="6">
                  <c:v>Sensitivity</c:v>
                </c:pt>
                <c:pt idx="7">
                  <c:v>Loss</c:v>
                </c:pt>
                <c:pt idx="8">
                  <c:v>Training Loss</c:v>
                </c:pt>
                <c:pt idx="9">
                  <c:v>Cohen's Kappa</c:v>
                </c:pt>
                <c:pt idx="10">
                  <c:v>MCC</c:v>
                </c:pt>
                <c:pt idx="11">
                  <c:v>BA</c:v>
                </c:pt>
                <c:pt idx="12">
                  <c:v>Dice coefficient</c:v>
                </c:pt>
                <c:pt idx="13">
                  <c:v>false positive rate</c:v>
                </c:pt>
                <c:pt idx="14">
                  <c:v>Visual representation</c:v>
                </c:pt>
                <c:pt idx="15">
                  <c:v>F-Beta Score</c:v>
                </c:pt>
                <c:pt idx="16">
                  <c:v>IoU</c:v>
                </c:pt>
                <c:pt idx="17">
                  <c:v>Jaccard</c:v>
                </c:pt>
                <c:pt idx="18">
                  <c:v>Latency (ms)</c:v>
                </c:pt>
                <c:pt idx="19">
                  <c:v>Memory size</c:v>
                </c:pt>
                <c:pt idx="20">
                  <c:v>MSE Loss</c:v>
                </c:pt>
                <c:pt idx="21">
                  <c:v>Training time</c:v>
                </c:pt>
              </c:strCache>
            </c:strRef>
          </c:cat>
          <c:val>
            <c:numRef>
              <c:f>Metrics!$B$2:$B$23</c:f>
              <c:numCache>
                <c:formatCode>General</c:formatCode>
                <c:ptCount val="22"/>
                <c:pt idx="0">
                  <c:v>42</c:v>
                </c:pt>
                <c:pt idx="1">
                  <c:v>18</c:v>
                </c:pt>
                <c:pt idx="2">
                  <c:v>17</c:v>
                </c:pt>
                <c:pt idx="3">
                  <c:v>14</c:v>
                </c:pt>
                <c:pt idx="4">
                  <c:v>11</c:v>
                </c:pt>
                <c:pt idx="5">
                  <c:v>9</c:v>
                </c:pt>
                <c:pt idx="6">
                  <c:v>8</c:v>
                </c:pt>
                <c:pt idx="7">
                  <c:v>5</c:v>
                </c:pt>
                <c:pt idx="8">
                  <c:v>4</c:v>
                </c:pt>
                <c:pt idx="9">
                  <c:v>3</c:v>
                </c:pt>
                <c:pt idx="10">
                  <c:v>2</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18-A520-4D27-8A04-1964407268C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lumMod val="40000"/>
          <a:lumOff val="60000"/>
        </a:schemeClr>
      </a:fgClr>
      <a:bgClr>
        <a:schemeClr val="bg1"/>
      </a:bgClr>
    </a:pattFill>
    <a:ln w="12700" cap="flat" cmpd="sng" algn="ctr">
      <a:solidFill>
        <a:schemeClr val="bg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47625</xdr:colOff>
      <xdr:row>2</xdr:row>
      <xdr:rowOff>9525</xdr:rowOff>
    </xdr:from>
    <xdr:to>
      <xdr:col>22</xdr:col>
      <xdr:colOff>381000</xdr:colOff>
      <xdr:row>33</xdr:row>
      <xdr:rowOff>28575</xdr:rowOff>
    </xdr:to>
    <xdr:sp macro="" textlink="">
      <xdr:nvSpPr>
        <xdr:cNvPr id="2" name="TextBox 1">
          <a:extLst>
            <a:ext uri="{FF2B5EF4-FFF2-40B4-BE49-F238E27FC236}">
              <a16:creationId xmlns:a16="http://schemas.microsoft.com/office/drawing/2014/main" id="{DEBC2F8B-264A-483A-BD60-A7798ED53E3F}"/>
            </a:ext>
          </a:extLst>
        </xdr:cNvPr>
        <xdr:cNvSpPr txBox="1"/>
      </xdr:nvSpPr>
      <xdr:spPr>
        <a:xfrm>
          <a:off x="1876425" y="390525"/>
          <a:ext cx="11915775" cy="592455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This is the dataset/Excel file used to conduct the systematic literature review:</a:t>
          </a:r>
        </a:p>
        <a:p>
          <a:pPr algn="ctr"/>
          <a:r>
            <a:rPr lang="en-US" sz="2000" b="1"/>
            <a:t>“Grad-CAM (Gradient-weighted Class Activation Mapping): A Systematic Literature Review”</a:t>
          </a:r>
        </a:p>
        <a:p>
          <a:pPr algn="l"/>
          <a:r>
            <a:rPr lang="en-US" b="1"/>
            <a:t>Abstract</a:t>
          </a:r>
        </a:p>
        <a:p>
          <a:pPr algn="l"/>
          <a:r>
            <a:rPr lang="en-US"/>
            <a:t>Explainable Artificial Intelligence (XAI) has become increasingly important in Machine Learning (ML) and Deep Learning (DL), particularly in applications where transparency, interpretability, and trust are essential. Among various XAI methods, </a:t>
          </a:r>
          <a:r>
            <a:rPr lang="en-US" b="1"/>
            <a:t>Gradient-weighted Class Activation Mapping (Grad-CAM)</a:t>
          </a:r>
          <a:r>
            <a:rPr lang="en-US"/>
            <a:t> is widely used to interpret Convolutional Neural Network (CNN) predictions by highlighting the image regions that contribute most strongly to a model’s decision.</a:t>
          </a:r>
        </a:p>
        <a:p>
          <a:pPr algn="l"/>
          <a:r>
            <a:rPr lang="en-US"/>
            <a:t>This systematic literature review provides a comprehensive analysis of </a:t>
          </a:r>
          <a:r>
            <a:rPr lang="en-US" b="1"/>
            <a:t>Grad-CAM, its variants, advancements, applications, and integration with ML/DL architectures</a:t>
          </a:r>
          <a:r>
            <a:rPr lang="en-US"/>
            <a:t>, with particular emphasis on medical imaging. Following the </a:t>
          </a:r>
          <a:r>
            <a:rPr lang="en-US" b="1"/>
            <a:t>PRISMA methodology</a:t>
          </a:r>
          <a:r>
            <a:rPr lang="en-US"/>
            <a:t>, a systematic search was conducted across </a:t>
          </a:r>
          <a:r>
            <a:rPr lang="en-US" b="1"/>
            <a:t>Scopus, Web of Science, IEEE Xplore, and ScienceDirect</a:t>
          </a:r>
          <a:r>
            <a:rPr lang="en-US"/>
            <a:t>. A total of </a:t>
          </a:r>
          <a:r>
            <a:rPr lang="en-US" b="1"/>
            <a:t>427 peer-reviewed publications published between 2020 and 2024</a:t>
          </a:r>
          <a:r>
            <a:rPr lang="en-US"/>
            <a:t> were initially identified, from which </a:t>
          </a:r>
          <a:r>
            <a:rPr lang="en-US" b="1"/>
            <a:t>51 studies</a:t>
          </a:r>
          <a:r>
            <a:rPr lang="en-US"/>
            <a:t> were selected for detailed analysis. GradCAM_SLR</a:t>
          </a:r>
        </a:p>
        <a:p>
          <a:pPr algn="l"/>
          <a:r>
            <a:rPr lang="en-US"/>
            <a:t>The review examines major </a:t>
          </a:r>
          <a:r>
            <a:rPr lang="en-US" b="1"/>
            <a:t>Grad-CAM variants, ML/DL architectures, datasets, evaluation metrics, application domains, publication trends, optimization approaches, and challenges associated with explainable AI</a:t>
          </a:r>
          <a:r>
            <a:rPr lang="en-US"/>
            <a:t>. It also provides insights into how Grad-CAM and its enhanced variants are being used to improve the interpretability and transparency of deep learning models, particularly in medical image analysis. GradCAM_SLR</a:t>
          </a:r>
        </a:p>
        <a:p>
          <a:pPr algn="l"/>
          <a:r>
            <a:rPr lang="en-US"/>
            <a:t>The systematic review follows a </a:t>
          </a:r>
          <a:r>
            <a:rPr lang="en-US" b="1"/>
            <a:t>seven-stage research methodology</a:t>
          </a:r>
          <a:r>
            <a:rPr lang="en-US"/>
            <a:t>, including baseline study, research question alignment, search criteria, publication screening, quality assessment, data extraction, and compilation of the final included studies. GradCAM_SLR</a:t>
          </a:r>
          <a:br>
            <a:rPr lang="en-US"/>
          </a:br>
          <a:endParaRPr lang="en-US"/>
        </a:p>
        <a:p>
          <a:pPr algn="ctr"/>
          <a:r>
            <a:rPr lang="en-US" b="1"/>
            <a:t>If You Use Our Dataset or SLR Methodology</a:t>
          </a:r>
          <a:br>
            <a:rPr lang="en-US" b="1"/>
          </a:br>
          <a:endParaRPr lang="en-US" b="1"/>
        </a:p>
        <a:p>
          <a:pPr algn="l"/>
          <a:r>
            <a:rPr lang="en-US"/>
            <a:t>If you use our </a:t>
          </a:r>
          <a:r>
            <a:rPr lang="en-US" b="1"/>
            <a:t>dataset, Excel template, systematic review framework, data-extraction approach, or SLR methodology</a:t>
          </a:r>
          <a:r>
            <a:rPr lang="en-US"/>
            <a:t> in your systematic review, survey, or related research, please consider citing our work:</a:t>
          </a:r>
        </a:p>
        <a:p>
          <a:pPr algn="l"/>
          <a:r>
            <a:rPr lang="en-US" b="1"/>
            <a:t>A. M. Fayyaz, S. J. Abdulkadir, N. Talpur, S. M. Al-Selwi, S. U. Hassan, and E. H. Sumiea</a:t>
          </a:r>
          <a:r>
            <a:rPr lang="en-US"/>
            <a:t>,</a:t>
          </a:r>
          <a:br>
            <a:rPr lang="en-US"/>
          </a:br>
          <a:r>
            <a:rPr lang="en-US"/>
            <a:t>“</a:t>
          </a:r>
          <a:r>
            <a:rPr lang="en-US" b="1"/>
            <a:t>Grad-CAM (Gradient-weighted Class Activation Mapping): A systematic literature review</a:t>
          </a:r>
          <a:r>
            <a:rPr lang="en-US"/>
            <a:t>,”</a:t>
          </a:r>
          <a:br>
            <a:rPr lang="en-US"/>
          </a:br>
          <a:r>
            <a:rPr lang="en-US" i="1"/>
            <a:t>Computers in Biology and Medicine</a:t>
          </a:r>
          <a:r>
            <a:rPr lang="en-US"/>
            <a:t>, vol. </a:t>
          </a:r>
          <a:r>
            <a:rPr lang="en-US" b="1"/>
            <a:t>198</a:t>
          </a:r>
          <a:r>
            <a:rPr lang="en-US"/>
            <a:t>, Art. no. </a:t>
          </a:r>
          <a:r>
            <a:rPr lang="en-US" b="1"/>
            <a:t>111200</a:t>
          </a:r>
          <a:r>
            <a:rPr lang="en-US"/>
            <a:t>, 2025.</a:t>
          </a:r>
        </a:p>
        <a:p>
          <a:pPr algn="l"/>
          <a:endParaRPr lang="en-US"/>
        </a:p>
        <a:p>
          <a:pPr algn="l"/>
          <a:r>
            <a:rPr lang="en-US" b="1"/>
            <a:t>DOI:</a:t>
          </a:r>
          <a:br>
            <a:rPr lang="en-US"/>
          </a:br>
          <a:r>
            <a:rPr lang="en-US">
              <a:hlinkClick xmlns:r="http://schemas.openxmlformats.org/officeDocument/2006/relationships" r:id=""/>
            </a:rPr>
            <a:t>https://doi.org/10.1016/j.compbiomed.2025.111200</a:t>
          </a:r>
          <a:r>
            <a:rPr lang="en-US"/>
            <a:t> GradCAM_SLR</a:t>
          </a:r>
        </a:p>
        <a:p>
          <a:pPr algn="l"/>
          <a:endParaRPr lang="en-US"/>
        </a:p>
        <a:p>
          <a:pPr algn="l"/>
          <a:r>
            <a:rPr lang="en-US" b="1"/>
            <a:t>GitHub Repository</a:t>
          </a:r>
        </a:p>
        <a:p>
          <a:pPr algn="l"/>
          <a:r>
            <a:rPr lang="en-US" b="1"/>
            <a:t>Grad-CAM SLR Dataset and Supplementary Material:</a:t>
          </a:r>
          <a:br>
            <a:rPr lang="en-US"/>
          </a:br>
          <a:r>
            <a:rPr lang="en-US">
              <a:hlinkClick xmlns:r="http://schemas.openxmlformats.org/officeDocument/2006/relationships" r:id=""/>
            </a:rPr>
            <a:t>https://github.com/abdulmuizfayyaz/GradCAM-SLR</a:t>
          </a:r>
          <a:r>
            <a:rPr lang="en-US"/>
            <a:t> GradCAM_SLR</a:t>
          </a:r>
        </a:p>
        <a:p>
          <a:pPr algn="l"/>
          <a:endParaRPr lang="en-US"/>
        </a:p>
        <a:p>
          <a:pPr algn="l"/>
          <a:r>
            <a:rPr lang="en-US" b="1"/>
            <a:t>Corresponding Authors</a:t>
          </a:r>
        </a:p>
        <a:p>
          <a:pPr algn="l"/>
          <a:r>
            <a:rPr lang="en-US" b="1"/>
            <a:t>Abdul Muiz Fayyaz</a:t>
          </a:r>
          <a:br>
            <a:rPr lang="en-US"/>
          </a:br>
          <a:r>
            <a:rPr lang="en-US" b="1"/>
            <a:t>Said Jadid Abdulkadir</a:t>
          </a:r>
          <a:br>
            <a:rPr lang="en-US"/>
          </a:br>
          <a:r>
            <a:rPr lang="en-US"/>
            <a:t>Universiti Teknologi PETRONAS, Malaysia GradCAM_SLR</a:t>
          </a:r>
        </a:p>
        <a:p>
          <a:pPr algn="l"/>
          <a:r>
            <a:rPr lang="en-US" b="1"/>
            <a:t>Thank you for using and citing our work.</a:t>
          </a:r>
          <a:endParaRPr lang="en-US"/>
        </a:p>
        <a:p>
          <a:pPr algn="ctr"/>
          <a:endParaRPr lang="en-US" sz="1100"/>
        </a:p>
      </xdr:txBody>
    </xdr:sp>
    <xdr:clientData/>
  </xdr:twoCellAnchor>
  <xdr:twoCellAnchor>
    <xdr:from>
      <xdr:col>14</xdr:col>
      <xdr:colOff>171450</xdr:colOff>
      <xdr:row>20</xdr:row>
      <xdr:rowOff>61912</xdr:rowOff>
    </xdr:from>
    <xdr:to>
      <xdr:col>21</xdr:col>
      <xdr:colOff>304800</xdr:colOff>
      <xdr:row>32</xdr:row>
      <xdr:rowOff>95250</xdr:rowOff>
    </xdr:to>
    <xdr:sp macro="" textlink="">
      <xdr:nvSpPr>
        <xdr:cNvPr id="3" name="TextBox 2">
          <a:extLst>
            <a:ext uri="{FF2B5EF4-FFF2-40B4-BE49-F238E27FC236}">
              <a16:creationId xmlns:a16="http://schemas.microsoft.com/office/drawing/2014/main" id="{8F024270-E63F-4892-9B5C-5BB218AA4106}"/>
            </a:ext>
          </a:extLst>
        </xdr:cNvPr>
        <xdr:cNvSpPr txBox="1"/>
      </xdr:nvSpPr>
      <xdr:spPr>
        <a:xfrm>
          <a:off x="8705850" y="3871912"/>
          <a:ext cx="4400550" cy="23193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@article{fayyaz2025grad,</a:t>
          </a:r>
        </a:p>
        <a:p>
          <a:r>
            <a:rPr lang="en-US" sz="1100" b="0" i="0">
              <a:solidFill>
                <a:schemeClr val="dk1"/>
              </a:solidFill>
              <a:effectLst/>
              <a:latin typeface="+mn-lt"/>
              <a:ea typeface="+mn-ea"/>
              <a:cs typeface="+mn-cs"/>
            </a:rPr>
            <a:t>  title={Grad-CAM (Gradient-weighted Class Activation Mapping): a systematic literature review},</a:t>
          </a:r>
        </a:p>
        <a:p>
          <a:r>
            <a:rPr lang="en-US" sz="1100" b="0" i="0">
              <a:solidFill>
                <a:schemeClr val="dk1"/>
              </a:solidFill>
              <a:effectLst/>
              <a:latin typeface="+mn-lt"/>
              <a:ea typeface="+mn-ea"/>
              <a:cs typeface="+mn-cs"/>
            </a:rPr>
            <a:t>  author={Fayyaz, Abdul Muiz and Abdulkadir, Said Jadid and Talpur, Noureen and Al-Selwi, Safwan Mahmood and Hassan, Shahab Ul and Sumiea, Ebrahim Hamid},</a:t>
          </a:r>
        </a:p>
        <a:p>
          <a:r>
            <a:rPr lang="en-US" sz="1100" b="0" i="0">
              <a:solidFill>
                <a:schemeClr val="dk1"/>
              </a:solidFill>
              <a:effectLst/>
              <a:latin typeface="+mn-lt"/>
              <a:ea typeface="+mn-ea"/>
              <a:cs typeface="+mn-cs"/>
            </a:rPr>
            <a:t>  journal={Computers in Biology and Medicine},</a:t>
          </a:r>
        </a:p>
        <a:p>
          <a:r>
            <a:rPr lang="en-US" sz="1100" b="0" i="0">
              <a:solidFill>
                <a:schemeClr val="dk1"/>
              </a:solidFill>
              <a:effectLst/>
              <a:latin typeface="+mn-lt"/>
              <a:ea typeface="+mn-ea"/>
              <a:cs typeface="+mn-cs"/>
            </a:rPr>
            <a:t>  volume={198},</a:t>
          </a:r>
        </a:p>
        <a:p>
          <a:r>
            <a:rPr lang="en-US" sz="1100" b="0" i="0">
              <a:solidFill>
                <a:schemeClr val="dk1"/>
              </a:solidFill>
              <a:effectLst/>
              <a:latin typeface="+mn-lt"/>
              <a:ea typeface="+mn-ea"/>
              <a:cs typeface="+mn-cs"/>
            </a:rPr>
            <a:t>  pages={111200},</a:t>
          </a:r>
        </a:p>
        <a:p>
          <a:r>
            <a:rPr lang="en-US" sz="1100" b="0" i="0">
              <a:solidFill>
                <a:schemeClr val="dk1"/>
              </a:solidFill>
              <a:effectLst/>
              <a:latin typeface="+mn-lt"/>
              <a:ea typeface="+mn-ea"/>
              <a:cs typeface="+mn-cs"/>
            </a:rPr>
            <a:t>  year={2025},</a:t>
          </a:r>
        </a:p>
        <a:p>
          <a:r>
            <a:rPr lang="en-US" sz="1100" b="0" i="0">
              <a:solidFill>
                <a:schemeClr val="dk1"/>
              </a:solidFill>
              <a:effectLst/>
              <a:latin typeface="+mn-lt"/>
              <a:ea typeface="+mn-ea"/>
              <a:cs typeface="+mn-cs"/>
            </a:rPr>
            <a:t>  publisher={Elsevier}</a:t>
          </a:r>
        </a:p>
        <a:p>
          <a:r>
            <a:rPr lang="en-US" sz="1100" b="0" i="0">
              <a:solidFill>
                <a:schemeClr val="dk1"/>
              </a:solidFill>
              <a:effectLst/>
              <a:latin typeface="+mn-lt"/>
              <a:ea typeface="+mn-ea"/>
              <a:cs typeface="+mn-cs"/>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30305</xdr:colOff>
      <xdr:row>6</xdr:row>
      <xdr:rowOff>190499</xdr:rowOff>
    </xdr:from>
    <xdr:to>
      <xdr:col>3</xdr:col>
      <xdr:colOff>386316</xdr:colOff>
      <xdr:row>23</xdr:row>
      <xdr:rowOff>80961</xdr:rowOff>
    </xdr:to>
    <xdr:graphicFrame macro="">
      <xdr:nvGraphicFramePr>
        <xdr:cNvPr id="2" name="Chart 1">
          <a:extLst>
            <a:ext uri="{FF2B5EF4-FFF2-40B4-BE49-F238E27FC236}">
              <a16:creationId xmlns:a16="http://schemas.microsoft.com/office/drawing/2014/main" id="{DB5D2F93-C077-4400-B8B7-7D73CCE5F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488674</xdr:colOff>
      <xdr:row>6</xdr:row>
      <xdr:rowOff>190499</xdr:rowOff>
    </xdr:from>
    <xdr:to>
      <xdr:col>7</xdr:col>
      <xdr:colOff>298032</xdr:colOff>
      <xdr:row>23</xdr:row>
      <xdr:rowOff>80961</xdr:rowOff>
    </xdr:to>
    <xdr:graphicFrame macro="">
      <xdr:nvGraphicFramePr>
        <xdr:cNvPr id="3" name="Chart 2">
          <a:extLst>
            <a:ext uri="{FF2B5EF4-FFF2-40B4-BE49-F238E27FC236}">
              <a16:creationId xmlns:a16="http://schemas.microsoft.com/office/drawing/2014/main" id="{0F1E1AE3-1787-4DBA-BF4B-7649FA509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600075</xdr:colOff>
      <xdr:row>7</xdr:row>
      <xdr:rowOff>0</xdr:rowOff>
    </xdr:from>
    <xdr:to>
      <xdr:col>15</xdr:col>
      <xdr:colOff>471488</xdr:colOff>
      <xdr:row>22</xdr:row>
      <xdr:rowOff>42863</xdr:rowOff>
    </xdr:to>
    <xdr:graphicFrame macro="">
      <xdr:nvGraphicFramePr>
        <xdr:cNvPr id="4" name="Chart 3">
          <a:extLst>
            <a:ext uri="{FF2B5EF4-FFF2-40B4-BE49-F238E27FC236}">
              <a16:creationId xmlns:a16="http://schemas.microsoft.com/office/drawing/2014/main" id="{B9CED565-AD6C-48E7-AD8C-F80ABA1EE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315058</xdr:colOff>
      <xdr:row>15</xdr:row>
      <xdr:rowOff>76200</xdr:rowOff>
    </xdr:to>
    <xdr:graphicFrame macro="">
      <xdr:nvGraphicFramePr>
        <xdr:cNvPr id="2" name="Chart 1">
          <a:extLst>
            <a:ext uri="{FF2B5EF4-FFF2-40B4-BE49-F238E27FC236}">
              <a16:creationId xmlns:a16="http://schemas.microsoft.com/office/drawing/2014/main" id="{FAD5A55A-4C1A-40C2-9BA2-72AC0A953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7247</xdr:colOff>
      <xdr:row>1</xdr:row>
      <xdr:rowOff>1449</xdr:rowOff>
    </xdr:from>
    <xdr:to>
      <xdr:col>8</xdr:col>
      <xdr:colOff>383485</xdr:colOff>
      <xdr:row>16</xdr:row>
      <xdr:rowOff>77649</xdr:rowOff>
    </xdr:to>
    <xdr:graphicFrame macro="">
      <xdr:nvGraphicFramePr>
        <xdr:cNvPr id="2" name="Chart 1">
          <a:extLst>
            <a:ext uri="{FF2B5EF4-FFF2-40B4-BE49-F238E27FC236}">
              <a16:creationId xmlns:a16="http://schemas.microsoft.com/office/drawing/2014/main" id="{E6325054-BC4C-4B96-929E-9EBC54E14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320537</xdr:colOff>
      <xdr:row>10</xdr:row>
      <xdr:rowOff>187733</xdr:rowOff>
    </xdr:from>
    <xdr:to>
      <xdr:col>6</xdr:col>
      <xdr:colOff>308162</xdr:colOff>
      <xdr:row>25</xdr:row>
      <xdr:rowOff>12059</xdr:rowOff>
    </xdr:to>
    <xdr:grpSp>
      <xdr:nvGrpSpPr>
        <xdr:cNvPr id="2" name="Group 1">
          <a:extLst>
            <a:ext uri="{FF2B5EF4-FFF2-40B4-BE49-F238E27FC236}">
              <a16:creationId xmlns:a16="http://schemas.microsoft.com/office/drawing/2014/main" id="{93FB9393-AFD6-4AD3-BA72-20A3385B3ACC}"/>
            </a:ext>
          </a:extLst>
        </xdr:cNvPr>
        <xdr:cNvGrpSpPr/>
      </xdr:nvGrpSpPr>
      <xdr:grpSpPr>
        <a:xfrm>
          <a:off x="320537" y="2092733"/>
          <a:ext cx="6249277" cy="2681826"/>
          <a:chOff x="6401953" y="500645"/>
          <a:chExt cx="8045460" cy="3319462"/>
        </a:xfrm>
      </xdr:grpSpPr>
      <xdr:graphicFrame macro="">
        <xdr:nvGraphicFramePr>
          <xdr:cNvPr id="3" name="Chart 2">
            <a:extLst>
              <a:ext uri="{FF2B5EF4-FFF2-40B4-BE49-F238E27FC236}">
                <a16:creationId xmlns:a16="http://schemas.microsoft.com/office/drawing/2014/main" id="{D8F18F84-F86D-369C-BA7F-111B3692945F}"/>
              </a:ext>
            </a:extLst>
          </xdr:cNvPr>
          <xdr:cNvGraphicFramePr>
            <a:graphicFrameLocks/>
          </xdr:cNvGraphicFramePr>
        </xdr:nvGraphicFramePr>
        <xdr:xfrm>
          <a:off x="10437706" y="500645"/>
          <a:ext cx="4009707" cy="331946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53ECC4DB-713C-813F-65BB-9351B3656A7A}"/>
              </a:ext>
            </a:extLst>
          </xdr:cNvPr>
          <xdr:cNvGraphicFramePr>
            <a:graphicFrameLocks/>
          </xdr:cNvGraphicFramePr>
        </xdr:nvGraphicFramePr>
        <xdr:xfrm>
          <a:off x="6401953" y="500645"/>
          <a:ext cx="4009708" cy="3319462"/>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233156</xdr:colOff>
      <xdr:row>8</xdr:row>
      <xdr:rowOff>151986</xdr:rowOff>
    </xdr:from>
    <xdr:to>
      <xdr:col>16</xdr:col>
      <xdr:colOff>398873</xdr:colOff>
      <xdr:row>27</xdr:row>
      <xdr:rowOff>176213</xdr:rowOff>
    </xdr:to>
    <xdr:graphicFrame macro="">
      <xdr:nvGraphicFramePr>
        <xdr:cNvPr id="5" name="Chart 4">
          <a:extLst>
            <a:ext uri="{FF2B5EF4-FFF2-40B4-BE49-F238E27FC236}">
              <a16:creationId xmlns:a16="http://schemas.microsoft.com/office/drawing/2014/main" id="{4B7FB0E3-BC3B-453E-A1B1-8C827097D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7326</xdr:colOff>
      <xdr:row>1</xdr:row>
      <xdr:rowOff>5862</xdr:rowOff>
    </xdr:from>
    <xdr:to>
      <xdr:col>10</xdr:col>
      <xdr:colOff>322384</xdr:colOff>
      <xdr:row>15</xdr:row>
      <xdr:rowOff>82062</xdr:rowOff>
    </xdr:to>
    <xdr:graphicFrame macro="">
      <xdr:nvGraphicFramePr>
        <xdr:cNvPr id="2" name="Chart 1">
          <a:extLst>
            <a:ext uri="{FF2B5EF4-FFF2-40B4-BE49-F238E27FC236}">
              <a16:creationId xmlns:a16="http://schemas.microsoft.com/office/drawing/2014/main" id="{88BA3B20-8CE9-4FD0-BD4B-6B8C08E1E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561474</xdr:colOff>
      <xdr:row>1</xdr:row>
      <xdr:rowOff>36635</xdr:rowOff>
    </xdr:from>
    <xdr:to>
      <xdr:col>8</xdr:col>
      <xdr:colOff>564173</xdr:colOff>
      <xdr:row>12</xdr:row>
      <xdr:rowOff>85224</xdr:rowOff>
    </xdr:to>
    <xdr:cxnSp macro="">
      <xdr:nvCxnSpPr>
        <xdr:cNvPr id="3" name="Straight Connector 2">
          <a:extLst>
            <a:ext uri="{FF2B5EF4-FFF2-40B4-BE49-F238E27FC236}">
              <a16:creationId xmlns:a16="http://schemas.microsoft.com/office/drawing/2014/main" id="{A44FECFD-77EA-4FA6-BDAE-120D90830E96}"/>
            </a:ext>
          </a:extLst>
        </xdr:cNvPr>
        <xdr:cNvCxnSpPr/>
      </xdr:nvCxnSpPr>
      <xdr:spPr>
        <a:xfrm flipH="1">
          <a:off x="6105024" y="227135"/>
          <a:ext cx="2699" cy="2144089"/>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457200</xdr:colOff>
      <xdr:row>1</xdr:row>
      <xdr:rowOff>0</xdr:rowOff>
    </xdr:from>
    <xdr:to>
      <xdr:col>15</xdr:col>
      <xdr:colOff>142875</xdr:colOff>
      <xdr:row>29</xdr:row>
      <xdr:rowOff>38100</xdr:rowOff>
    </xdr:to>
    <xdr:graphicFrame macro="">
      <xdr:nvGraphicFramePr>
        <xdr:cNvPr id="2" name="Chart 1">
          <a:extLst>
            <a:ext uri="{FF2B5EF4-FFF2-40B4-BE49-F238E27FC236}">
              <a16:creationId xmlns:a16="http://schemas.microsoft.com/office/drawing/2014/main" id="{A6EF46D7-D258-46EB-8634-0DC4EDAD1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485775</xdr:colOff>
      <xdr:row>0</xdr:row>
      <xdr:rowOff>200024</xdr:rowOff>
    </xdr:from>
    <xdr:to>
      <xdr:col>14</xdr:col>
      <xdr:colOff>285750</xdr:colOff>
      <xdr:row>32</xdr:row>
      <xdr:rowOff>180974</xdr:rowOff>
    </xdr:to>
    <xdr:graphicFrame macro="">
      <xdr:nvGraphicFramePr>
        <xdr:cNvPr id="2" name="Chart 1">
          <a:extLst>
            <a:ext uri="{FF2B5EF4-FFF2-40B4-BE49-F238E27FC236}">
              <a16:creationId xmlns:a16="http://schemas.microsoft.com/office/drawing/2014/main" id="{CEDD202A-BBFF-4033-91E1-ED6F442A4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47625</xdr:colOff>
      <xdr:row>2</xdr:row>
      <xdr:rowOff>9525</xdr:rowOff>
    </xdr:from>
    <xdr:to>
      <xdr:col>22</xdr:col>
      <xdr:colOff>381000</xdr:colOff>
      <xdr:row>33</xdr:row>
      <xdr:rowOff>28575</xdr:rowOff>
    </xdr:to>
    <xdr:sp macro="" textlink="">
      <xdr:nvSpPr>
        <xdr:cNvPr id="2" name="TextBox 1">
          <a:extLst>
            <a:ext uri="{FF2B5EF4-FFF2-40B4-BE49-F238E27FC236}">
              <a16:creationId xmlns:a16="http://schemas.microsoft.com/office/drawing/2014/main" id="{8838480A-D370-B8D0-9299-6CA7790F2A88}"/>
            </a:ext>
          </a:extLst>
        </xdr:cNvPr>
        <xdr:cNvSpPr txBox="1"/>
      </xdr:nvSpPr>
      <xdr:spPr>
        <a:xfrm>
          <a:off x="1876425" y="390525"/>
          <a:ext cx="11915775" cy="592455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This is the dataset/Excel file used to conduct the systematic literature review:</a:t>
          </a:r>
        </a:p>
        <a:p>
          <a:pPr algn="ctr"/>
          <a:r>
            <a:rPr lang="en-US" sz="2000" b="1"/>
            <a:t>“Grad-CAM (Gradient-weighted Class Activation Mapping): A Systematic Literature Review”</a:t>
          </a:r>
        </a:p>
        <a:p>
          <a:pPr algn="l"/>
          <a:r>
            <a:rPr lang="en-US" b="1"/>
            <a:t>Abstract</a:t>
          </a:r>
        </a:p>
        <a:p>
          <a:pPr algn="l"/>
          <a:r>
            <a:rPr lang="en-US"/>
            <a:t>Explainable Artificial Intelligence (XAI) has become increasingly important in Machine Learning (ML) and Deep Learning (DL), particularly in applications where transparency, interpretability, and trust are essential. Among various XAI methods, </a:t>
          </a:r>
          <a:r>
            <a:rPr lang="en-US" b="1"/>
            <a:t>Gradient-weighted Class Activation Mapping (Grad-CAM)</a:t>
          </a:r>
          <a:r>
            <a:rPr lang="en-US"/>
            <a:t> is widely used to interpret Convolutional Neural Network (CNN) predictions by highlighting the image regions that contribute most strongly to a model’s decision.</a:t>
          </a:r>
        </a:p>
        <a:p>
          <a:pPr algn="l"/>
          <a:r>
            <a:rPr lang="en-US"/>
            <a:t>This systematic literature review provides a comprehensive analysis of </a:t>
          </a:r>
          <a:r>
            <a:rPr lang="en-US" b="1"/>
            <a:t>Grad-CAM, its variants, advancements, applications, and integration with ML/DL architectures</a:t>
          </a:r>
          <a:r>
            <a:rPr lang="en-US"/>
            <a:t>, with particular emphasis on medical imaging. Following the </a:t>
          </a:r>
          <a:r>
            <a:rPr lang="en-US" b="1"/>
            <a:t>PRISMA methodology</a:t>
          </a:r>
          <a:r>
            <a:rPr lang="en-US"/>
            <a:t>, a systematic search was conducted across </a:t>
          </a:r>
          <a:r>
            <a:rPr lang="en-US" b="1"/>
            <a:t>Scopus, Web of Science, IEEE Xplore, and ScienceDirect</a:t>
          </a:r>
          <a:r>
            <a:rPr lang="en-US"/>
            <a:t>. A total of </a:t>
          </a:r>
          <a:r>
            <a:rPr lang="en-US" b="1"/>
            <a:t>427 peer-reviewed publications published between 2020 and 2024</a:t>
          </a:r>
          <a:r>
            <a:rPr lang="en-US"/>
            <a:t> were initially identified, from which </a:t>
          </a:r>
          <a:r>
            <a:rPr lang="en-US" b="1"/>
            <a:t>51 studies</a:t>
          </a:r>
          <a:r>
            <a:rPr lang="en-US"/>
            <a:t> were selected for detailed analysis. GradCAM_SLR</a:t>
          </a:r>
        </a:p>
        <a:p>
          <a:pPr algn="l"/>
          <a:r>
            <a:rPr lang="en-US"/>
            <a:t>The review examines major </a:t>
          </a:r>
          <a:r>
            <a:rPr lang="en-US" b="1"/>
            <a:t>Grad-CAM variants, ML/DL architectures, datasets, evaluation metrics, application domains, publication trends, optimization approaches, and challenges associated with explainable AI</a:t>
          </a:r>
          <a:r>
            <a:rPr lang="en-US"/>
            <a:t>. It also provides insights into how Grad-CAM and its enhanced variants are being used to improve the interpretability and transparency of deep learning models, particularly in medical image analysis. GradCAM_SLR</a:t>
          </a:r>
        </a:p>
        <a:p>
          <a:pPr algn="l"/>
          <a:r>
            <a:rPr lang="en-US"/>
            <a:t>The systematic review follows a </a:t>
          </a:r>
          <a:r>
            <a:rPr lang="en-US" b="1"/>
            <a:t>seven-stage research methodology</a:t>
          </a:r>
          <a:r>
            <a:rPr lang="en-US"/>
            <a:t>, including baseline study, research question alignment, search criteria, publication screening, quality assessment, data extraction, and compilation of the final included studies. GradCAM_SLR</a:t>
          </a:r>
          <a:br>
            <a:rPr lang="en-US"/>
          </a:br>
          <a:endParaRPr lang="en-US"/>
        </a:p>
        <a:p>
          <a:pPr algn="ctr"/>
          <a:r>
            <a:rPr lang="en-US" b="1"/>
            <a:t>If You Use Our Dataset or SLR Methodology</a:t>
          </a:r>
          <a:br>
            <a:rPr lang="en-US" b="1"/>
          </a:br>
          <a:endParaRPr lang="en-US" b="1"/>
        </a:p>
        <a:p>
          <a:pPr algn="l"/>
          <a:r>
            <a:rPr lang="en-US"/>
            <a:t>If you use our </a:t>
          </a:r>
          <a:r>
            <a:rPr lang="en-US" b="1"/>
            <a:t>dataset, Excel template, systematic review framework, data-extraction approach, or SLR methodology</a:t>
          </a:r>
          <a:r>
            <a:rPr lang="en-US"/>
            <a:t> in your systematic review, survey, or related research, please consider citing our work:</a:t>
          </a:r>
        </a:p>
        <a:p>
          <a:pPr algn="l"/>
          <a:r>
            <a:rPr lang="en-US" b="1"/>
            <a:t>A. M. Fayyaz, S. J. Abdulkadir, N. Talpur, S. M. Al-Selwi, S. U. Hassan, and E. H. Sumiea</a:t>
          </a:r>
          <a:r>
            <a:rPr lang="en-US"/>
            <a:t>,</a:t>
          </a:r>
          <a:br>
            <a:rPr lang="en-US"/>
          </a:br>
          <a:r>
            <a:rPr lang="en-US"/>
            <a:t>“</a:t>
          </a:r>
          <a:r>
            <a:rPr lang="en-US" b="1"/>
            <a:t>Grad-CAM (Gradient-weighted Class Activation Mapping): A systematic literature review</a:t>
          </a:r>
          <a:r>
            <a:rPr lang="en-US"/>
            <a:t>,”</a:t>
          </a:r>
          <a:br>
            <a:rPr lang="en-US"/>
          </a:br>
          <a:r>
            <a:rPr lang="en-US" i="1"/>
            <a:t>Computers in Biology and Medicine</a:t>
          </a:r>
          <a:r>
            <a:rPr lang="en-US"/>
            <a:t>, vol. </a:t>
          </a:r>
          <a:r>
            <a:rPr lang="en-US" b="1"/>
            <a:t>198</a:t>
          </a:r>
          <a:r>
            <a:rPr lang="en-US"/>
            <a:t>, Art. no. </a:t>
          </a:r>
          <a:r>
            <a:rPr lang="en-US" b="1"/>
            <a:t>111200</a:t>
          </a:r>
          <a:r>
            <a:rPr lang="en-US"/>
            <a:t>, 2025.</a:t>
          </a:r>
        </a:p>
        <a:p>
          <a:pPr algn="l"/>
          <a:endParaRPr lang="en-US"/>
        </a:p>
        <a:p>
          <a:pPr algn="l"/>
          <a:r>
            <a:rPr lang="en-US" b="1"/>
            <a:t>DOI:</a:t>
          </a:r>
          <a:br>
            <a:rPr lang="en-US"/>
          </a:br>
          <a:r>
            <a:rPr lang="en-US">
              <a:hlinkClick xmlns:r="http://schemas.openxmlformats.org/officeDocument/2006/relationships" r:id=""/>
            </a:rPr>
            <a:t>https://doi.org/10.1016/j.compbiomed.2025.111200</a:t>
          </a:r>
          <a:r>
            <a:rPr lang="en-US"/>
            <a:t> GradCAM_SLR</a:t>
          </a:r>
        </a:p>
        <a:p>
          <a:pPr algn="l"/>
          <a:endParaRPr lang="en-US"/>
        </a:p>
        <a:p>
          <a:pPr algn="l"/>
          <a:r>
            <a:rPr lang="en-US" b="1"/>
            <a:t>GitHub Repository</a:t>
          </a:r>
        </a:p>
        <a:p>
          <a:pPr algn="l"/>
          <a:r>
            <a:rPr lang="en-US" b="1"/>
            <a:t>Grad-CAM SLR Dataset and Supplementary Material:</a:t>
          </a:r>
          <a:br>
            <a:rPr lang="en-US"/>
          </a:br>
          <a:r>
            <a:rPr lang="en-US">
              <a:hlinkClick xmlns:r="http://schemas.openxmlformats.org/officeDocument/2006/relationships" r:id=""/>
            </a:rPr>
            <a:t>https://github.com/abdulmuizfayyaz/GradCAM-SLR</a:t>
          </a:r>
          <a:r>
            <a:rPr lang="en-US"/>
            <a:t> GradCAM_SLR</a:t>
          </a:r>
        </a:p>
        <a:p>
          <a:pPr algn="l"/>
          <a:endParaRPr lang="en-US"/>
        </a:p>
        <a:p>
          <a:pPr algn="l"/>
          <a:r>
            <a:rPr lang="en-US" b="1"/>
            <a:t>Corresponding Authors</a:t>
          </a:r>
        </a:p>
        <a:p>
          <a:pPr algn="l"/>
          <a:r>
            <a:rPr lang="en-US" b="1"/>
            <a:t>Abdul Muiz Fayyaz</a:t>
          </a:r>
          <a:br>
            <a:rPr lang="en-US"/>
          </a:br>
          <a:r>
            <a:rPr lang="en-US" b="1"/>
            <a:t>Said Jadid Abdulkadir</a:t>
          </a:r>
          <a:br>
            <a:rPr lang="en-US"/>
          </a:br>
          <a:r>
            <a:rPr lang="en-US"/>
            <a:t>Universiti Teknologi PETRONAS, Malaysia GradCAM_SLR</a:t>
          </a:r>
        </a:p>
        <a:p>
          <a:pPr algn="l"/>
          <a:r>
            <a:rPr lang="en-US" b="1"/>
            <a:t>Thank you for using and citing our work.</a:t>
          </a:r>
          <a:endParaRPr lang="en-US"/>
        </a:p>
        <a:p>
          <a:pPr algn="ctr"/>
          <a:endParaRPr lang="en-US" sz="1100"/>
        </a:p>
      </xdr:txBody>
    </xdr:sp>
    <xdr:clientData/>
  </xdr:twoCellAnchor>
  <xdr:twoCellAnchor>
    <xdr:from>
      <xdr:col>14</xdr:col>
      <xdr:colOff>171450</xdr:colOff>
      <xdr:row>20</xdr:row>
      <xdr:rowOff>61912</xdr:rowOff>
    </xdr:from>
    <xdr:to>
      <xdr:col>21</xdr:col>
      <xdr:colOff>304800</xdr:colOff>
      <xdr:row>32</xdr:row>
      <xdr:rowOff>95250</xdr:rowOff>
    </xdr:to>
    <xdr:sp macro="" textlink="">
      <xdr:nvSpPr>
        <xdr:cNvPr id="3" name="TextBox 2">
          <a:extLst>
            <a:ext uri="{FF2B5EF4-FFF2-40B4-BE49-F238E27FC236}">
              <a16:creationId xmlns:a16="http://schemas.microsoft.com/office/drawing/2014/main" id="{8F57D85E-A4C3-B520-7A74-8525A8DBC90F}"/>
            </a:ext>
          </a:extLst>
        </xdr:cNvPr>
        <xdr:cNvSpPr txBox="1"/>
      </xdr:nvSpPr>
      <xdr:spPr>
        <a:xfrm>
          <a:off x="8705850" y="3871912"/>
          <a:ext cx="4400550" cy="23193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@article{fayyaz2025grad,</a:t>
          </a:r>
        </a:p>
        <a:p>
          <a:r>
            <a:rPr lang="en-US" sz="1100" b="0" i="0">
              <a:solidFill>
                <a:schemeClr val="dk1"/>
              </a:solidFill>
              <a:effectLst/>
              <a:latin typeface="+mn-lt"/>
              <a:ea typeface="+mn-ea"/>
              <a:cs typeface="+mn-cs"/>
            </a:rPr>
            <a:t>  title={Grad-CAM (Gradient-weighted Class Activation Mapping): a systematic literature review},</a:t>
          </a:r>
        </a:p>
        <a:p>
          <a:r>
            <a:rPr lang="en-US" sz="1100" b="0" i="0">
              <a:solidFill>
                <a:schemeClr val="dk1"/>
              </a:solidFill>
              <a:effectLst/>
              <a:latin typeface="+mn-lt"/>
              <a:ea typeface="+mn-ea"/>
              <a:cs typeface="+mn-cs"/>
            </a:rPr>
            <a:t>  author={Fayyaz, Abdul Muiz and Abdulkadir, Said Jadid and Talpur, Noureen and Al-Selwi, Safwan Mahmood and Hassan, Shahab Ul and Sumiea, Ebrahim Hamid},</a:t>
          </a:r>
        </a:p>
        <a:p>
          <a:r>
            <a:rPr lang="en-US" sz="1100" b="0" i="0">
              <a:solidFill>
                <a:schemeClr val="dk1"/>
              </a:solidFill>
              <a:effectLst/>
              <a:latin typeface="+mn-lt"/>
              <a:ea typeface="+mn-ea"/>
              <a:cs typeface="+mn-cs"/>
            </a:rPr>
            <a:t>  journal={Computers in Biology and Medicine},</a:t>
          </a:r>
        </a:p>
        <a:p>
          <a:r>
            <a:rPr lang="en-US" sz="1100" b="0" i="0">
              <a:solidFill>
                <a:schemeClr val="dk1"/>
              </a:solidFill>
              <a:effectLst/>
              <a:latin typeface="+mn-lt"/>
              <a:ea typeface="+mn-ea"/>
              <a:cs typeface="+mn-cs"/>
            </a:rPr>
            <a:t>  volume={198},</a:t>
          </a:r>
        </a:p>
        <a:p>
          <a:r>
            <a:rPr lang="en-US" sz="1100" b="0" i="0">
              <a:solidFill>
                <a:schemeClr val="dk1"/>
              </a:solidFill>
              <a:effectLst/>
              <a:latin typeface="+mn-lt"/>
              <a:ea typeface="+mn-ea"/>
              <a:cs typeface="+mn-cs"/>
            </a:rPr>
            <a:t>  pages={111200},</a:t>
          </a:r>
        </a:p>
        <a:p>
          <a:r>
            <a:rPr lang="en-US" sz="1100" b="0" i="0">
              <a:solidFill>
                <a:schemeClr val="dk1"/>
              </a:solidFill>
              <a:effectLst/>
              <a:latin typeface="+mn-lt"/>
              <a:ea typeface="+mn-ea"/>
              <a:cs typeface="+mn-cs"/>
            </a:rPr>
            <a:t>  year={2025},</a:t>
          </a:r>
        </a:p>
        <a:p>
          <a:r>
            <a:rPr lang="en-US" sz="1100" b="0" i="0">
              <a:solidFill>
                <a:schemeClr val="dk1"/>
              </a:solidFill>
              <a:effectLst/>
              <a:latin typeface="+mn-lt"/>
              <a:ea typeface="+mn-ea"/>
              <a:cs typeface="+mn-cs"/>
            </a:rPr>
            <a:t>  publisher={Elsevier}</a:t>
          </a:r>
        </a:p>
        <a:p>
          <a:r>
            <a:rPr lang="en-US" sz="1100" b="0" i="0">
              <a:solidFill>
                <a:schemeClr val="dk1"/>
              </a:solidFill>
              <a:effectLst/>
              <a:latin typeface="+mn-lt"/>
              <a:ea typeface="+mn-ea"/>
              <a:cs typeface="+mn-cs"/>
            </a:rPr>
            <a:t>}</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D1A7F9-140C-4D09-A368-FCA141B356EF}" autoFormatId="16" applyNumberFormats="0" applyBorderFormats="0" applyFontFormats="0" applyPatternFormats="0" applyAlignmentFormats="0" applyWidthHeightFormats="0">
  <queryTableRefresh nextId="65" unboundColumnsRight="5">
    <queryTableFields count="18">
      <queryTableField id="50" name="Column50" tableColumnId="50"/>
      <queryTableField id="2" name="Column2" tableColumnId="2"/>
      <queryTableField id="3" name="Column3" tableColumnId="3"/>
      <queryTableField id="1" name="Column1" tableColumnId="1"/>
      <queryTableField id="61" dataBound="0" tableColumnId="11"/>
      <queryTableField id="6" name="Column6" tableColumnId="6"/>
      <queryTableField id="42" name="Column42" tableColumnId="42"/>
      <queryTableField id="17" name="Column17" tableColumnId="17"/>
      <queryTableField id="20" name="Column20" tableColumnId="20"/>
      <queryTableField id="23" name="Column23" tableColumnId="23"/>
      <queryTableField id="35" name="Column35" tableColumnId="35"/>
      <queryTableField id="58" dataBound="0" tableColumnId="12"/>
      <queryTableField id="4" name="Column4" tableColumnId="4"/>
      <queryTableField id="53" dataBound="0" tableColumnId="5"/>
      <queryTableField id="54" dataBound="0" tableColumnId="7"/>
      <queryTableField id="55" dataBound="0" tableColumnId="8"/>
      <queryTableField id="56" dataBound="0" tableColumnId="9"/>
      <queryTableField id="57" dataBound="0" tableColumnId="10"/>
    </queryTableFields>
    <queryTableDeletedFields count="41">
      <deletedField name="Column5"/>
      <deletedField name="Column7"/>
      <deletedField name="Column8"/>
      <deletedField name="Column9"/>
      <deletedField name="Column10"/>
      <deletedField name="Column11"/>
      <deletedField name="Column12"/>
      <deletedField name="Column13"/>
      <deletedField name="Column14"/>
      <deletedField name="Column15"/>
      <deletedField name="Column16"/>
      <deletedField name="Column19"/>
      <deletedField name="Column21"/>
      <deletedField name="Column22"/>
      <deletedField name="Column24"/>
      <deletedField name="Column25"/>
      <deletedField name="Column26"/>
      <deletedField name="Column27"/>
      <deletedField name="Column28"/>
      <deletedField name="Column29"/>
      <deletedField name="Column30"/>
      <deletedField name="Column31"/>
      <deletedField name="Column32"/>
      <deletedField name="Column33"/>
      <deletedField name="Column34"/>
      <deletedField name="Column36"/>
      <deletedField name="Column37"/>
      <deletedField name="Column38"/>
      <deletedField name="Column39"/>
      <deletedField name="Column40"/>
      <deletedField name="Column41"/>
      <deletedField name="Column43"/>
      <deletedField name="Column44"/>
      <deletedField name="Column45"/>
      <deletedField name="Column46"/>
      <deletedField name="Column48"/>
      <deletedField name="Column49"/>
      <deletedField name="Column51"/>
      <deletedField name="Column52"/>
      <deletedField name="Column47"/>
      <deletedField name="Column18"/>
    </queryTableDeleted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C3AA738-4CB6-4AD9-A0E6-E6C0577BFC6F}" name="Table10" displayName="Table10" ref="A1:B11" totalsRowShown="0" headerRowBorderDxfId="82" tableBorderDxfId="81" totalsRowBorderDxfId="80">
  <autoFilter ref="A1:B11" xr:uid="{9C3AA738-4CB6-4AD9-A0E6-E6C0577BFC6F}"/>
  <sortState xmlns:xlrd2="http://schemas.microsoft.com/office/spreadsheetml/2017/richdata2" ref="A2:B11">
    <sortCondition descending="1" ref="B1:B11"/>
  </sortState>
  <tableColumns count="2">
    <tableColumn id="1" xr3:uid="{6F317B56-1366-405E-8A92-40733060EF27}" name="Publisher" dataDxfId="79"/>
    <tableColumn id="2" xr3:uid="{63193071-BEF9-423E-B68B-076DBB09A04D}" name="# of papers identified" dataDxfId="78">
      <calculatedColumnFormula>COUNTIF('4 Included'!$D$2:$E$52,$A2)</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F19C4D-E636-4F3C-81EF-66B5F7B6CC72}" name="Table7" displayName="Table7" ref="A1:C6" totalsRowShown="0" headerRowDxfId="77" headerRowBorderDxfId="76" tableBorderDxfId="75" totalsRowBorderDxfId="74">
  <autoFilter ref="A1:C6" xr:uid="{CECADDCC-DA2F-4643-AEAD-AB2048F72B92}"/>
  <tableColumns count="3">
    <tableColumn id="1" xr3:uid="{AA9E01BD-6F71-4DF7-B4C5-99AB70A0EC84}" name="Year" dataDxfId="73"/>
    <tableColumn id="2" xr3:uid="{27D2CAD3-EE8B-485B-9E85-5D43164A76E0}" name="# of papers identified" dataDxfId="72">
      <calculatedColumnFormula>COUNTIF('1 Identification'!$D$2:$D$428,$A2)</calculatedColumnFormula>
    </tableColumn>
    <tableColumn id="3" xr3:uid="{A9F209DF-B61F-48AC-BFA3-8247EC7A2EF1}" name="# of papers included" dataDxfId="71">
      <calculatedColumnFormula>COUNTIF('4 Included'!$C$2:$C$52,$A2)</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3C73B62-9AF4-4C2E-AB47-46D74414A4BF}" name="Table389" displayName="Table389" ref="A1:B21" totalsRowShown="0" headerRowDxfId="70" dataDxfId="68" headerRowBorderDxfId="69" tableBorderDxfId="67" totalsRowBorderDxfId="66">
  <autoFilter ref="A1:B21" xr:uid="{0D0C6429-A888-4939-9F2F-C1AFFD5B2AEF}"/>
  <sortState xmlns:xlrd2="http://schemas.microsoft.com/office/spreadsheetml/2017/richdata2" ref="A2:B21">
    <sortCondition descending="1" ref="B1:B21"/>
  </sortState>
  <tableColumns count="2">
    <tableColumn id="1" xr3:uid="{DF6E249B-2CE1-466C-B2EB-2390E307FE1A}" name="Short name" dataDxfId="65"/>
    <tableColumn id="3" xr3:uid="{7B3C9A9C-FEDD-471E-A5D5-784AF70CEF14}" name="# of papers" dataDxfId="64">
      <calculatedColumnFormula array="1">SUMPRODUCT(--(ISNUMBER(SEARCH($A2,'4 Included'!$Q$2:$Q$52))))</calculatedColumnFormula>
    </tableColumn>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80C7E9-EC28-4602-A90C-847A543C42F8}" name="Table38" displayName="Table38" ref="A1:B23" totalsRowShown="0" headerRowDxfId="63" dataDxfId="61" headerRowBorderDxfId="62" tableBorderDxfId="60" totalsRowBorderDxfId="59">
  <autoFilter ref="A1:B23" xr:uid="{0D0C6429-A888-4939-9F2F-C1AFFD5B2AEF}"/>
  <sortState xmlns:xlrd2="http://schemas.microsoft.com/office/spreadsheetml/2017/richdata2" ref="A2:B23">
    <sortCondition descending="1" ref="B1:B23"/>
  </sortState>
  <tableColumns count="2">
    <tableColumn id="1" xr3:uid="{55DE4AA0-32E1-4262-999E-E6667CF709D5}" name="Short name" dataDxfId="58"/>
    <tableColumn id="3" xr3:uid="{214CECEE-0CA5-40F4-9D68-C39DD3C49E9C}" name="# of papers" dataDxfId="57">
      <calculatedColumnFormula array="1">SUMPRODUCT(--(ISNUMBER(SEARCH($A2,'4 Included'!$R$2:$R$52))))</calculatedColumnFormula>
    </tableColumn>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FADCE5-F063-47DF-A55B-1E2BCCE83C5B}" name="My_SLR_LibraryV1" displayName="My_SLR_LibraryV1" ref="A1:R52" tableType="queryTable" totalsRowShown="0" headerRowDxfId="99">
  <autoFilter ref="A1:R52" xr:uid="{52FADCE5-F063-47DF-A55B-1E2BCCE83C5B}"/>
  <sortState xmlns:xlrd2="http://schemas.microsoft.com/office/spreadsheetml/2017/richdata2" ref="A2:R52">
    <sortCondition ref="F1:F52"/>
  </sortState>
  <tableColumns count="18">
    <tableColumn id="50" xr3:uid="{DBF96E70-4277-4765-A104-5BD135FCB36F}" uniqueName="50" name="Database" queryTableFieldId="50" dataDxfId="98"/>
    <tableColumn id="2" xr3:uid="{2ED7161E-7E7B-4BA8-BB09-6111A5EF85CA}" uniqueName="2" name="Author Name" queryTableFieldId="2" dataDxfId="97"/>
    <tableColumn id="3" xr3:uid="{3031056A-56F4-4341-B3C2-C45697198521}" uniqueName="3" name="Year" queryTableFieldId="3" dataDxfId="96"/>
    <tableColumn id="1" xr3:uid="{E110E61B-C5DF-44B1-83D2-FC8240145858}" uniqueName="1" name="Type" queryTableFieldId="1" dataDxfId="95"/>
    <tableColumn id="11" xr3:uid="{7CFF921A-A9A3-4418-A377-41F8811FAF05}" uniqueName="11" name="Publisher" queryTableFieldId="61"/>
    <tableColumn id="6" xr3:uid="{99EA5D59-188C-4313-A1E8-3B3F784B1550}" uniqueName="6" name="Published in" queryTableFieldId="6" dataDxfId="94"/>
    <tableColumn id="42" xr3:uid="{F60BD446-2F53-4F6F-B6CF-7E478482D6A4}" uniqueName="42" name="Link" queryTableFieldId="42" dataDxfId="93"/>
    <tableColumn id="17" xr3:uid="{4EBF7A80-4A3A-48A2-BD17-585825841527}" uniqueName="17" name="Publication date" queryTableFieldId="17" dataDxfId="92"/>
    <tableColumn id="20" xr3:uid="{43DBB15B-3377-4D48-A450-366D04EEB754}" uniqueName="20" name="Title " queryTableFieldId="20" dataDxfId="91"/>
    <tableColumn id="23" xr3:uid="{E44C1209-C188-4046-A5FC-97DF232DD627}" uniqueName="23" name="DOI" queryTableFieldId="23" dataDxfId="90"/>
    <tableColumn id="35" xr3:uid="{7FA82E68-93E5-43A6-A94C-AB60B58FAB52}" uniqueName="35" name="Paper ID" queryTableFieldId="35" dataDxfId="89"/>
    <tableColumn id="12" xr3:uid="{D7E20704-BD68-4CCA-B910-A8894F1231A0}" uniqueName="12" name="Column1" queryTableFieldId="58"/>
    <tableColumn id="4" xr3:uid="{01B581F5-CE0F-46EA-BC18-D6D34434D981}" uniqueName="4" name="Title" queryTableFieldId="4" dataDxfId="88"/>
    <tableColumn id="5" xr3:uid="{2F2C9C32-C741-43E0-A333-1343BD018AE1}" uniqueName="5" name="Dataset" queryTableFieldId="53" dataDxfId="87"/>
    <tableColumn id="7" xr3:uid="{D05AD71B-5297-4DB3-8740-D7EEE5427F6C}" uniqueName="7" name="Dataset Link" queryTableFieldId="54" dataDxfId="86"/>
    <tableColumn id="8" xr3:uid="{BC370CD3-6B29-419A-88AB-EE0E6A5D4142}" uniqueName="8" name="Techniques" queryTableFieldId="55" dataDxfId="85"/>
    <tableColumn id="9" xr3:uid="{40A67F8D-B571-414D-9CA6-F66901EBF141}" uniqueName="9" name="variations" queryTableFieldId="56" dataDxfId="84"/>
    <tableColumn id="10" xr3:uid="{2B45D361-29A5-4401-BE76-2046A1FA27EF}" uniqueName="10" name="Metrics" queryTableFieldId="57" dataDxfId="8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DD7135-A578-4855-BC9D-33F84E72C69E}" name="Table145" displayName="Table145" ref="A1:T142" totalsRowShown="0" headerRowDxfId="56" dataDxfId="55">
  <autoFilter ref="A1:T142" xr:uid="{922385D0-9948-46DF-877B-DC48FBB89B87}"/>
  <tableColumns count="20">
    <tableColumn id="1" xr3:uid="{B3BB8718-3157-4D28-B461-080CF2F364ED}" name="Name of Database" dataDxfId="54"/>
    <tableColumn id="2" xr3:uid="{C33ED0B5-EE04-488F-92F1-08BF28962B41}" name="Reference Type" dataDxfId="53"/>
    <tableColumn id="3" xr3:uid="{5A76AC2F-AB24-435D-88B8-83DAA20B234E}" name="Author" dataDxfId="52"/>
    <tableColumn id="4" xr3:uid="{AB81CC10-3902-4A58-957D-8097C0F677DA}" name="Year" dataDxfId="51"/>
    <tableColumn id="5" xr3:uid="{A5A0B2A2-5F7F-4054-8E50-3F8596F4F2CD}" name="Title" dataDxfId="50"/>
    <tableColumn id="6" xr3:uid="{6F90A9E5-1BF9-4B4D-B367-02A359580B88}" name="Secondary Title" dataDxfId="49"/>
    <tableColumn id="7" xr3:uid="{558E03AE-1BF1-4D60-8F0B-B530473E8455}" name="Volume" dataDxfId="48"/>
    <tableColumn id="8" xr3:uid="{DD0F5C6A-B0FC-4FFE-95D9-8B6459EE211C}" name="Number" dataDxfId="47"/>
    <tableColumn id="9" xr3:uid="{C2EC66AA-ABA9-4061-9AED-9F2183081072}" name="Pages" dataDxfId="46"/>
    <tableColumn id="10" xr3:uid="{4A4DE968-AC6D-44C1-8994-C7C0EDA83770}" name="Publisher" dataDxfId="45"/>
    <tableColumn id="11" xr3:uid="{E96C7025-914B-441F-ABF3-B11E8385BA67}" name="Place Published" dataDxfId="44"/>
    <tableColumn id="12" xr3:uid="{32BF676F-1EE8-47F1-A105-A26DF9773A75}" name="URL" dataDxfId="43"/>
    <tableColumn id="13" xr3:uid="{7F7B3E39-C2DD-4E44-B39E-E15429D3C4A6}" name="DOI" dataDxfId="42"/>
    <tableColumn id="14" xr3:uid="{1CE520F9-8CC2-44C2-B10B-15797F6AF3A2}" name="Keywords" dataDxfId="41"/>
    <tableColumn id="15" xr3:uid="{971ECB24-6616-481E-B0B2-9A59812CC15C}" name="Abstract" dataDxfId="40"/>
    <tableColumn id="16" xr3:uid="{A83FED68-3175-455C-9A8B-344B5D9B5C74}" name="Relevence 0,1,0.5" dataDxfId="39"/>
    <tableColumn id="17" xr3:uid="{A55F75CA-1351-4CA2-91B8-6525826E0E13}" name="Methodology 0, 1, 0.5" dataDxfId="38"/>
    <tableColumn id="18" xr3:uid="{CFDB6CAB-39B1-4978-A47E-632B7964975B}" name="Limitations 0,1,0.5" dataDxfId="37"/>
    <tableColumn id="19" xr3:uid="{B05DE5CF-F448-4353-8936-1BB58DBD7C3F}" name="Findings 0,1,0.5" dataDxfId="36"/>
    <tableColumn id="20" xr3:uid="{647C74A5-88CB-4177-9354-305CC4E9B69C}" name="Total" dataDxfId="35">
      <calculatedColumnFormula>SUM(Table145[[#This Row],[Relevence 0,1,0.5]:[Findings 0,1,0.5]])</calculatedColumnFormula>
    </tableColumn>
  </tableColumns>
  <tableStyleInfo name="TableStyleLight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229923-54C5-4A95-9C27-434DA94C36E5}" name="Table14" displayName="Table14" ref="A1:O173" totalsRowShown="0" headerRowDxfId="34" dataDxfId="33">
  <autoFilter ref="A1:O173" xr:uid="{922385D0-9948-46DF-877B-DC48FBB89B87}"/>
  <tableColumns count="15">
    <tableColumn id="1" xr3:uid="{450B5EE1-9678-4D09-B7BC-E4E2ED5BFD19}" name="Name of Database" dataDxfId="32"/>
    <tableColumn id="2" xr3:uid="{883DBE52-21DF-46E5-8944-89B7E88E8C44}" name="Reference Type" dataDxfId="31"/>
    <tableColumn id="3" xr3:uid="{C8DD48D7-C39C-4247-B992-278881BC5469}" name="Author" dataDxfId="30"/>
    <tableColumn id="4" xr3:uid="{6B446179-EA8A-40E7-A5BC-4F5583C47F02}" name="Year" dataDxfId="29"/>
    <tableColumn id="5" xr3:uid="{5059DC3F-6AF9-4053-9F01-61884FFDDEC5}" name="Title" dataDxfId="28"/>
    <tableColumn id="6" xr3:uid="{8EEE5E7D-4023-4554-BB5E-A9D2E3168DDD}" name="Secondary Title" dataDxfId="27"/>
    <tableColumn id="7" xr3:uid="{8B1A56D6-C73A-491E-9403-BEB8C02DF7DE}" name="Volume" dataDxfId="26"/>
    <tableColumn id="8" xr3:uid="{0EA1FA1C-26C5-4299-9B3C-08D54265F30A}" name="Number" dataDxfId="25"/>
    <tableColumn id="9" xr3:uid="{34444924-9792-42A6-98C7-92C90CD6367E}" name="Pages" dataDxfId="24"/>
    <tableColumn id="10" xr3:uid="{E174F96D-0365-4731-8661-1E0EF7684DB4}" name="Publisher" dataDxfId="23"/>
    <tableColumn id="11" xr3:uid="{7F6624E0-7574-45DE-BDA7-7F880616A909}" name="Place Published" dataDxfId="22"/>
    <tableColumn id="12" xr3:uid="{8EFCABC6-3447-47E2-982C-3753F783BAA5}" name="URL" dataDxfId="21"/>
    <tableColumn id="13" xr3:uid="{143ABA1C-0BF2-45C1-8383-1DABA8D09525}" name="DOI" dataDxfId="20"/>
    <tableColumn id="14" xr3:uid="{4B73EA6B-C14D-40B4-8773-8B2179C627E4}" name="Keywords" dataDxfId="19"/>
    <tableColumn id="15" xr3:uid="{D599DEAE-0051-475E-B075-3CC1D5EF4243}" name="Abstract" dataDxfId="18"/>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C4E7C8-C275-4738-B73D-F0B39B8B13A8}" name="Table1" displayName="Table1" ref="A1:O428" totalsRowShown="0" headerRowDxfId="17" dataDxfId="16">
  <autoFilter ref="A1:O428" xr:uid="{922385D0-9948-46DF-877B-DC48FBB89B87}"/>
  <tableColumns count="15">
    <tableColumn id="1" xr3:uid="{09896F7C-E091-4540-B8B0-9B114A091367}" name="Name of Database" dataDxfId="15"/>
    <tableColumn id="2" xr3:uid="{A4A59AC8-67FE-43F0-BC01-45AF8962339A}" name="Reference Type" dataDxfId="14"/>
    <tableColumn id="3" xr3:uid="{A20AD960-AA3C-44B6-9F42-1840920585D5}" name="Author" dataDxfId="13"/>
    <tableColumn id="4" xr3:uid="{B9595808-998D-427A-A379-3C4430A6EAE8}" name="Year" dataDxfId="12"/>
    <tableColumn id="5" xr3:uid="{669EBF08-BECA-4CB1-B675-F65E2B74A468}" name="Title" dataDxfId="11"/>
    <tableColumn id="6" xr3:uid="{6D0E6B66-630C-4B6A-97C5-A13EACBD43F3}" name="Secondary Title" dataDxfId="10"/>
    <tableColumn id="7" xr3:uid="{CA253E93-B8FA-4692-9904-CF9249CE2B97}" name="Volume" dataDxfId="9"/>
    <tableColumn id="8" xr3:uid="{9ACB9D18-D5E3-4D13-8520-0CC9F4AEEC8B}" name="Number" dataDxfId="8"/>
    <tableColumn id="9" xr3:uid="{8166704D-EDA9-4D99-8D1D-BFB2F545BF45}" name="Pages" dataDxfId="7"/>
    <tableColumn id="10" xr3:uid="{DBB054EF-BF23-4EDB-8A41-7C3B7063A3AA}" name="Publisher" dataDxfId="6"/>
    <tableColumn id="11" xr3:uid="{0BEDB6F0-747B-4B57-BC38-94BF38DD6D5E}" name="Place Published" dataDxfId="5"/>
    <tableColumn id="12" xr3:uid="{910AF54F-4787-4243-B48F-59CE720960DA}" name="URL" dataDxfId="4"/>
    <tableColumn id="13" xr3:uid="{76940D18-CB87-4543-9073-EED6D636538C}" name="DOI" dataDxfId="3"/>
    <tableColumn id="14" xr3:uid="{04F4D163-5904-4AFC-A2BB-BB12EA199065}" name="Keywords" dataDxfId="2"/>
    <tableColumn id="15" xr3:uid="{846C737E-9EEF-4C47-A558-537CD857686C}" name="Abstract" dataDxfId="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6" Type="http://schemas.openxmlformats.org/officeDocument/2006/relationships/hyperlink" Target="https://osf.io/dv2ag/" TargetMode="External"/><Relationship Id="rId21" Type="http://schemas.openxmlformats.org/officeDocument/2006/relationships/hyperlink" Target="https://www.scopus.com/inward/record.uri?eid=2-s2.0-85148039931&amp;doi=10.1007%2fs10618-023-00920-0&amp;partnerID=40&amp;md5=569b8404b41ca22ce4649a8f98ff3426" TargetMode="External"/><Relationship Id="rId42" Type="http://schemas.openxmlformats.org/officeDocument/2006/relationships/hyperlink" Target="https://github.com/sikha2552/TS-CNN-A-Three-Tier-Self-Interpretable-CNN-for-Medical-Image-Classification-Empowered-with-Post-hoc" TargetMode="External"/><Relationship Id="rId47" Type="http://schemas.openxmlformats.org/officeDocument/2006/relationships/hyperlink" Target="https://www.kaggle.com/datasets/prashant268/chest-xray-covid19-pneumonia" TargetMode="External"/><Relationship Id="rId63" Type="http://schemas.openxmlformats.org/officeDocument/2006/relationships/hyperlink" Target="https://ieeexplore.ieee.org/abstract/document/10434658" TargetMode="External"/><Relationship Id="rId68" Type="http://schemas.openxmlformats.org/officeDocument/2006/relationships/hyperlink" Target="https://openaccess.thecvf.com/content_iccv_2017/html/Selvaraju_Grad-CAM_Visual_Explanations_ICCV_2017_paper.html" TargetMode="External"/><Relationship Id="rId84" Type="http://schemas.openxmlformats.org/officeDocument/2006/relationships/hyperlink" Target="https://doi.org/10.1109/IGARSS52108.2023.10282341" TargetMode="External"/><Relationship Id="rId16" Type="http://schemas.openxmlformats.org/officeDocument/2006/relationships/hyperlink" Target="https://www.scopus.com/inward/record.uri?eid=2-s2.0-85161149678&amp;partnerID=40&amp;md5=9765291af356700831c028689b522a46" TargetMode="External"/><Relationship Id="rId11" Type="http://schemas.openxmlformats.org/officeDocument/2006/relationships/hyperlink" Target="https://www.sciencedirect.com/science/article/pii/S0010482521005837" TargetMode="External"/><Relationship Id="rId32" Type="http://schemas.openxmlformats.org/officeDocument/2006/relationships/hyperlink" Target="https://hcup-us.ahrq.gov/db/nation/kid/kiddbdocumentation.jsp" TargetMode="External"/><Relationship Id="rId37" Type="http://schemas.openxmlformats.org/officeDocument/2006/relationships/hyperlink" Target="http://splab.cz/en/download/databaze/ultrasound" TargetMode="External"/><Relationship Id="rId53" Type="http://schemas.openxmlformats.org/officeDocument/2006/relationships/hyperlink" Target="https://ieeexplore.ieee.org/abstract/document/9871235" TargetMode="External"/><Relationship Id="rId58" Type="http://schemas.openxmlformats.org/officeDocument/2006/relationships/hyperlink" Target="https://www.mdpi.com/1424-8220/21/16/5657" TargetMode="External"/><Relationship Id="rId74" Type="http://schemas.openxmlformats.org/officeDocument/2006/relationships/hyperlink" Target="https://paperswithcode.com/dataset/kaggle-eyepacs" TargetMode="External"/><Relationship Id="rId79" Type="http://schemas.openxmlformats.org/officeDocument/2006/relationships/hyperlink" Target="https://paperswithcode.com/dataset/pascal-voc" TargetMode="External"/><Relationship Id="rId5" Type="http://schemas.openxmlformats.org/officeDocument/2006/relationships/hyperlink" Target="https://www.scopus.com/inward/record.uri?eid=2-s2.0-85129707185&amp;doi=10.1007%2fs42979-022-01057-5&amp;partnerID=40&amp;md5=3af24b60f97cec486b3e6dca5512927a" TargetMode="External"/><Relationship Id="rId19" Type="http://schemas.openxmlformats.org/officeDocument/2006/relationships/hyperlink" Target="https://www.scopus.com/inward/record.uri?eid=2-s2.0-85179508570&amp;doi=10.1109%2fWINCOM59760.2023.10322952&amp;partnerID=40&amp;md5=4c797ab7f52568c378255bb9a4450a6a" TargetMode="External"/><Relationship Id="rId14" Type="http://schemas.openxmlformats.org/officeDocument/2006/relationships/hyperlink" Target="https://www.scopus.com/inward/record.uri?eid=2-s2.0-85113749231&amp;doi=10.1109%2fCYBCONF51991.2021.9464134&amp;partnerID=40&amp;md5=7489d6d47de8e9b798c8ca31d548912b" TargetMode="External"/><Relationship Id="rId22" Type="http://schemas.openxmlformats.org/officeDocument/2006/relationships/hyperlink" Target="https://www.scopus.com/inward/record.uri?eid=2-s2.0-85094097648&amp;doi=10.1109%2fACIT49673.2020.9208950&amp;partnerID=40&amp;md5=be4fbb5d5fc2235731ce20492f77e6cb" TargetMode="External"/><Relationship Id="rId27" Type="http://schemas.openxmlformats.org/officeDocument/2006/relationships/hyperlink" Target="https://www.cs.toronto.edu/~kriz/cifar.html" TargetMode="External"/><Relationship Id="rId30" Type="http://schemas.openxmlformats.org/officeDocument/2006/relationships/hyperlink" Target="https://www.medrxiv.org/content/10.1101/2020.04.24.20078584v3" TargetMode="External"/><Relationship Id="rId35" Type="http://schemas.openxmlformats.org/officeDocument/2006/relationships/hyperlink" Target="https://paperswithcode.com/dataset/affectnet" TargetMode="External"/><Relationship Id="rId43" Type="http://schemas.openxmlformats.org/officeDocument/2006/relationships/hyperlink" Target="https://peerj.com/articles/cs-348/?trk=public_post_comment-text" TargetMode="External"/><Relationship Id="rId48" Type="http://schemas.openxmlformats.org/officeDocument/2006/relationships/hyperlink" Target="https://ieeexplore.ieee.org/abstract/document/9611247" TargetMode="External"/><Relationship Id="rId56" Type="http://schemas.openxmlformats.org/officeDocument/2006/relationships/hyperlink" Target="https://openaccess.thecvf.com/content_cvpr_2017/html/Wang_ChestX-ray8_Hospital-Scale_Chest_CVPR_2017_paper.html" TargetMode="External"/><Relationship Id="rId64" Type="http://schemas.openxmlformats.org/officeDocument/2006/relationships/hyperlink" Target="https://www.sciencedirect.com/science/article/pii/S0041624X23000938" TargetMode="External"/><Relationship Id="rId69" Type="http://schemas.openxmlformats.org/officeDocument/2006/relationships/hyperlink" Target="https://github.com/ramprs/grad-cam/" TargetMode="External"/><Relationship Id="rId77" Type="http://schemas.openxmlformats.org/officeDocument/2006/relationships/hyperlink" Target="https://ieeexplore.ieee.org/abstract/document/10262261" TargetMode="External"/><Relationship Id="rId8" Type="http://schemas.openxmlformats.org/officeDocument/2006/relationships/hyperlink" Target="https://www.scopus.com/inward/record.uri?eid=2-s2.0-85130341946&amp;doi=10.1007%2f978-3-031-02375-0_30&amp;partnerID=40&amp;md5=831c755d4dbb4c7cc508c6f867ed7cc8" TargetMode="External"/><Relationship Id="rId51" Type="http://schemas.openxmlformats.org/officeDocument/2006/relationships/hyperlink" Target="https://github.com/v7labs/covid-19-xray-dataset" TargetMode="External"/><Relationship Id="rId72" Type="http://schemas.openxmlformats.org/officeDocument/2006/relationships/hyperlink" Target="https://www.mdpi.com/2075-4418/13/9/1594" TargetMode="External"/><Relationship Id="rId80" Type="http://schemas.openxmlformats.org/officeDocument/2006/relationships/hyperlink" Target="https://github.com/pratikkayal/PlantDoc-Dataset" TargetMode="External"/><Relationship Id="rId85" Type="http://schemas.openxmlformats.org/officeDocument/2006/relationships/hyperlink" Target="https://www.sciencedirect.com/science/article/pii/S0168169924000590" TargetMode="External"/><Relationship Id="rId3" Type="http://schemas.openxmlformats.org/officeDocument/2006/relationships/hyperlink" Target="https://www.scopus.com/inward/record.uri?eid=2-s2.0-85166375420&amp;doi=10.1109%2fAICAS57966.2023.10168594&amp;partnerID=40&amp;md5=b4ea125381ed9d581f927296b947793d" TargetMode="External"/><Relationship Id="rId12" Type="http://schemas.openxmlformats.org/officeDocument/2006/relationships/hyperlink" Target="https://www.scopus.com/inward/record.uri?eid=2-s2.0-85102560062&amp;doi=10.1109%2fICICT50816.2021.9358569&amp;partnerID=40&amp;md5=c300a8eb38b8a93b1a433a3c5078b25a" TargetMode="External"/><Relationship Id="rId17" Type="http://schemas.openxmlformats.org/officeDocument/2006/relationships/hyperlink" Target="https://www.scopus.com/inward/record.uri?eid=2-s2.0-85184810534&amp;doi=10.1109%2fSmartTechCon57526.2023.10391741&amp;partnerID=40&amp;md5=606cb96e6cc031b37632ae99b103c05f" TargetMode="External"/><Relationship Id="rId25" Type="http://schemas.openxmlformats.org/officeDocument/2006/relationships/hyperlink" Target="https://doi.org/10.1016/j.imed.2023.05.003" TargetMode="External"/><Relationship Id="rId33" Type="http://schemas.openxmlformats.org/officeDocument/2006/relationships/hyperlink" Target="https://www.scopus.com/inward/record.uri?eid=2-s2.0-85102651015&amp;doi=10.1111%2fexsy.12695&amp;partnerID=40&amp;md5=489719e06db29aef5c68331216224d0b" TargetMode="External"/><Relationship Id="rId38" Type="http://schemas.openxmlformats.org/officeDocument/2006/relationships/hyperlink" Target="https://www.oasis-brains.org/" TargetMode="External"/><Relationship Id="rId46" Type="http://schemas.openxmlformats.org/officeDocument/2006/relationships/hyperlink" Target="https://www.sciencedirect.com/science/article/pii/S0010482524000969" TargetMode="External"/><Relationship Id="rId59" Type="http://schemas.openxmlformats.org/officeDocument/2006/relationships/hyperlink" Target="https://github.com/UCSD-AI4H/COVID-CT" TargetMode="External"/><Relationship Id="rId67" Type="http://schemas.openxmlformats.org/officeDocument/2006/relationships/hyperlink" Target="https://www.ncbi.nlm.nih.gov/pmc/articles/PMC9410095/" TargetMode="External"/><Relationship Id="rId20" Type="http://schemas.openxmlformats.org/officeDocument/2006/relationships/hyperlink" Target="https://www.sciencedirect.com/science/article/pii/S2667102623000414" TargetMode="External"/><Relationship Id="rId41" Type="http://schemas.openxmlformats.org/officeDocument/2006/relationships/hyperlink" Target="https://ieeexplore.ieee.org/stamp/stamp.jsp?arnumber=10197361" TargetMode="External"/><Relationship Id="rId54" Type="http://schemas.openxmlformats.org/officeDocument/2006/relationships/hyperlink" Target="https://github.com/jannisborn/covid19_ultrasound" TargetMode="External"/><Relationship Id="rId62" Type="http://schemas.openxmlformats.org/officeDocument/2006/relationships/hyperlink" Target="https://github.com/nspunn1993/CHS-Net-COVID-19-hierarchical-segmentation-network" TargetMode="External"/><Relationship Id="rId70" Type="http://schemas.openxmlformats.org/officeDocument/2006/relationships/hyperlink" Target="https://iieta.org/journals/ts/paper/10.18280/ts.390529" TargetMode="External"/><Relationship Id="rId75" Type="http://schemas.openxmlformats.org/officeDocument/2006/relationships/hyperlink" Target="https://www.kaggle.com/datasets/sartajbhuvaji/brain-tumor-classification-mri" TargetMode="External"/><Relationship Id="rId83" Type="http://schemas.openxmlformats.org/officeDocument/2006/relationships/hyperlink" Target="https://ieeexplore.ieee.org/abstract/document/10282341" TargetMode="External"/><Relationship Id="rId88" Type="http://schemas.openxmlformats.org/officeDocument/2006/relationships/table" Target="../tables/table5.xml"/><Relationship Id="rId1" Type="http://schemas.openxmlformats.org/officeDocument/2006/relationships/hyperlink" Target="https://www.scopus.com/inward/record.uri?eid=2-s2.0-85150681687&amp;doi=10.1109%2fICCGIV57403.2022.00024&amp;partnerID=40&amp;md5=7b20826697f96b5bdd0d1e8fb75ed456" TargetMode="External"/><Relationship Id="rId6" Type="http://schemas.openxmlformats.org/officeDocument/2006/relationships/hyperlink" Target="https://www.scopus.com/inward/record.uri?eid=2-s2.0-85111331898&amp;doi=10.1007%2f978-3-030-73882-2_89&amp;partnerID=40&amp;md5=42cd157847d8fdcef292d60fccfb986f" TargetMode="External"/><Relationship Id="rId15" Type="http://schemas.openxmlformats.org/officeDocument/2006/relationships/hyperlink" Target="https://www.scopus.com/inward/record.uri?eid=2-s2.0-85171524411&amp;doi=10.1109%2fICIET57285.2023.10220839&amp;partnerID=40&amp;md5=646ec919f0f808164e3f078f5967a741" TargetMode="External"/><Relationship Id="rId23" Type="http://schemas.openxmlformats.org/officeDocument/2006/relationships/hyperlink" Target="https://www.scopus.com/inward/record.uri?eid=2-s2.0-85174151165&amp;doi=10.1007%2fs42979-023-02239-5&amp;partnerID=40&amp;md5=a4637bc54f9b7f42bf86b12bb6c559e5" TargetMode="External"/><Relationship Id="rId28" Type="http://schemas.openxmlformats.org/officeDocument/2006/relationships/hyperlink" Target="https://dcase.community/challenge2022/index" TargetMode="External"/><Relationship Id="rId36" Type="http://schemas.openxmlformats.org/officeDocument/2006/relationships/hyperlink" Target="https://github.com/ieee8023/covid-chestxray-dataset" TargetMode="External"/><Relationship Id="rId49" Type="http://schemas.openxmlformats.org/officeDocument/2006/relationships/hyperlink" Target="https://www.kaggle.com/datasets/shashwatwork/dementia-prediction-dataset" TargetMode="External"/><Relationship Id="rId57" Type="http://schemas.openxmlformats.org/officeDocument/2006/relationships/hyperlink" Target="https://search.ieice.org/bin/summary.php?id=e105-d_8_1401" TargetMode="External"/><Relationship Id="rId10" Type="http://schemas.openxmlformats.org/officeDocument/2006/relationships/hyperlink" Target="https://www.sciencedirect.com/science/article/pii/S2667305322000850" TargetMode="External"/><Relationship Id="rId31" Type="http://schemas.openxmlformats.org/officeDocument/2006/relationships/hyperlink" Target="https://plantvillage.psu.edu/" TargetMode="External"/><Relationship Id="rId44" Type="http://schemas.openxmlformats.org/officeDocument/2006/relationships/hyperlink" Target="https://paperswithcode.com/dataset/sipakmed" TargetMode="External"/><Relationship Id="rId52" Type="http://schemas.openxmlformats.org/officeDocument/2006/relationships/hyperlink" Target="https://ieeexplore.ieee.org/abstract/document/9766171" TargetMode="External"/><Relationship Id="rId60" Type="http://schemas.openxmlformats.org/officeDocument/2006/relationships/hyperlink" Target="https://ieeexplore.ieee.org/abstract/document/9565704" TargetMode="External"/><Relationship Id="rId65" Type="http://schemas.openxmlformats.org/officeDocument/2006/relationships/hyperlink" Target="https://ieeexplore.ieee.org/abstract/document/10435182" TargetMode="External"/><Relationship Id="rId73" Type="http://schemas.openxmlformats.org/officeDocument/2006/relationships/hyperlink" Target="https://www.elephantlisteningproject.orga/" TargetMode="External"/><Relationship Id="rId78" Type="http://schemas.openxmlformats.org/officeDocument/2006/relationships/hyperlink" Target="https://osf.io/dv2ag/" TargetMode="External"/><Relationship Id="rId81" Type="http://schemas.openxmlformats.org/officeDocument/2006/relationships/hyperlink" Target="https://ieeexplore.ieee.org/abstract/document/10309766" TargetMode="External"/><Relationship Id="rId86" Type="http://schemas.openxmlformats.org/officeDocument/2006/relationships/hyperlink" Target="https://qgis.org/en/site/" TargetMode="External"/><Relationship Id="rId4" Type="http://schemas.openxmlformats.org/officeDocument/2006/relationships/hyperlink" Target="https://www.scopus.com/inward/record.uri?eid=2-s2.0-85124356263&amp;doi=10.3390%2fapp12031695&amp;partnerID=40&amp;md5=868c6dc268f93ae37f3b4ec2ec7c25a7" TargetMode="External"/><Relationship Id="rId9" Type="http://schemas.openxmlformats.org/officeDocument/2006/relationships/hyperlink" Target="https://www.scopus.com/inward/record.uri?eid=2-s2.0-85128330243&amp;doi=10.1109%2fCCEM53267.2021.00011&amp;partnerID=40&amp;md5=20beb7cb25babda5e8c0dc6a4857db72" TargetMode="External"/><Relationship Id="rId13" Type="http://schemas.openxmlformats.org/officeDocument/2006/relationships/hyperlink" Target="https://www.scopus.com/inward/record.uri?eid=2-s2.0-85136130200&amp;doi=10.1117%2f12.2625369&amp;partnerID=40&amp;md5=530e4632c3249279cb1b8bb57b46b5c2" TargetMode="External"/><Relationship Id="rId18" Type="http://schemas.openxmlformats.org/officeDocument/2006/relationships/hyperlink" Target="https://www.scopus.com/inward/record.uri?eid=2-s2.0-85093829351&amp;doi=10.1109%2fISCV49265.2020.9204258&amp;partnerID=40&amp;md5=69751b3ad91ceba11c9f2f6fe9420273" TargetMode="External"/><Relationship Id="rId39" Type="http://schemas.openxmlformats.org/officeDocument/2006/relationships/hyperlink" Target="https://github.com/zalandoresearch/fashion-mnist" TargetMode="External"/><Relationship Id="rId34" Type="http://schemas.openxmlformats.org/officeDocument/2006/relationships/hyperlink" Target="https://github.com/UCSD-AI4H/COVID-CT" TargetMode="External"/><Relationship Id="rId50" Type="http://schemas.openxmlformats.org/officeDocument/2006/relationships/hyperlink" Target="https://www.mdpi.com/2075-4418/12/1/188" TargetMode="External"/><Relationship Id="rId55" Type="http://schemas.openxmlformats.org/officeDocument/2006/relationships/hyperlink" Target="https://ieeexplore.ieee.org/abstract/document/9817375" TargetMode="External"/><Relationship Id="rId76" Type="http://schemas.openxmlformats.org/officeDocument/2006/relationships/hyperlink" Target="https://www.kaggle.com/datasets/andrewmvd/lung-and-colon-cancer-histopathological-images" TargetMode="External"/><Relationship Id="rId7" Type="http://schemas.openxmlformats.org/officeDocument/2006/relationships/hyperlink" Target="https://www.sciencedirect.com/science/article/pii/S1877050923001680" TargetMode="External"/><Relationship Id="rId71" Type="http://schemas.openxmlformats.org/officeDocument/2006/relationships/hyperlink" Target="https://www.mdpi.com/2075-4418/13/5/859" TargetMode="External"/><Relationship Id="rId2" Type="http://schemas.openxmlformats.org/officeDocument/2006/relationships/hyperlink" Target="https://www.sciencedirect.com/science/article/pii/S1746809424001836" TargetMode="External"/><Relationship Id="rId29" Type="http://schemas.openxmlformats.org/officeDocument/2006/relationships/hyperlink" Target="https://gigadb.org/dataset/100295" TargetMode="External"/><Relationship Id="rId24" Type="http://schemas.openxmlformats.org/officeDocument/2006/relationships/hyperlink" Target="https://www.scopus.com/inward/record.uri?eid=2-s2.0-85127740915&amp;doi=10.1016%2fj.procs.2022.01.260&amp;partnerID=40&amp;md5=88694e89dce47995239a24a92e580d64" TargetMode="External"/><Relationship Id="rId40" Type="http://schemas.openxmlformats.org/officeDocument/2006/relationships/hyperlink" Target="https://www.image-net.org/challenges/LSVRC/2012/" TargetMode="External"/><Relationship Id="rId45" Type="http://schemas.openxmlformats.org/officeDocument/2006/relationships/hyperlink" Target="https://www.researchgate.net/publication/342489976_Explaining_the_Rationale_of_Deep_Learning_Glaucoma_Decisions_with_Adversarial_Examples" TargetMode="External"/><Relationship Id="rId66" Type="http://schemas.openxmlformats.org/officeDocument/2006/relationships/hyperlink" Target="https://ieeexplore.ieee.org/abstract/document/10441001" TargetMode="External"/><Relationship Id="rId87" Type="http://schemas.openxmlformats.org/officeDocument/2006/relationships/printerSettings" Target="../printerSettings/printerSettings8.bin"/><Relationship Id="rId61" Type="http://schemas.openxmlformats.org/officeDocument/2006/relationships/hyperlink" Target="https://link.springer.com/article/10.1007/s11063-022-10785-x" TargetMode="External"/><Relationship Id="rId82" Type="http://schemas.openxmlformats.org/officeDocument/2006/relationships/hyperlink" Target="https://www.tensorflow.org/datasets/catalog/imagenet2012"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FAAB-AD15-4A4F-AE0A-60B94B53673F}">
  <sheetPr>
    <tabColor theme="9"/>
  </sheetPr>
  <dimension ref="A1"/>
  <sheetViews>
    <sheetView workbookViewId="0">
      <selection activeCell="Y31" sqref="Y3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7EBA-633E-43FF-AFB0-9D0DA1D165BF}">
  <sheetPr codeName="Sheet3">
    <tabColor theme="9"/>
  </sheetPr>
  <dimension ref="A1:F6"/>
  <sheetViews>
    <sheetView zoomScale="115" zoomScaleNormal="115" workbookViewId="0">
      <selection activeCell="E6" sqref="E6"/>
    </sheetView>
  </sheetViews>
  <sheetFormatPr defaultRowHeight="15" x14ac:dyDescent="0.25"/>
  <cols>
    <col min="1" max="1" width="20.7109375" customWidth="1"/>
    <col min="2" max="2" width="11.42578125" customWidth="1"/>
    <col min="3" max="3" width="17.5703125" customWidth="1"/>
    <col min="4" max="4" width="14.28515625" customWidth="1"/>
    <col min="5" max="5" width="19.7109375" customWidth="1"/>
    <col min="6" max="6" width="14.7109375" customWidth="1"/>
  </cols>
  <sheetData>
    <row r="1" spans="1:6" ht="45" x14ac:dyDescent="0.25">
      <c r="A1" s="12" t="s">
        <v>2372</v>
      </c>
      <c r="B1" s="13" t="s">
        <v>2373</v>
      </c>
      <c r="C1" s="13" t="s">
        <v>2377</v>
      </c>
      <c r="D1" s="13" t="s">
        <v>2378</v>
      </c>
      <c r="E1" s="13" t="s">
        <v>2374</v>
      </c>
      <c r="F1" s="13" t="s">
        <v>2375</v>
      </c>
    </row>
    <row r="2" spans="1:6" x14ac:dyDescent="0.25">
      <c r="A2" s="14" t="s">
        <v>378</v>
      </c>
      <c r="B2" s="15">
        <f>COUNTIF('1 Identification'!$A$2:$A$428,$A2)</f>
        <v>78</v>
      </c>
      <c r="C2" s="16">
        <f>COUNTIF('2 Screening'!$A$2:$A$173,$A2)</f>
        <v>27</v>
      </c>
      <c r="D2" s="16">
        <f>COUNTIF('3 Eligibility'!$A$2:$A$142,$A2)</f>
        <v>26</v>
      </c>
      <c r="E2" s="16">
        <f>COUNTIFS('3 Eligibility'!$T$2:$T$142,"&gt;=3.5", '3 Eligibility'!$A$2:$A$142,$A2)</f>
        <v>13</v>
      </c>
      <c r="F2" s="16">
        <f>COUNTIF('4 Included'!$A$2:$A$52,$A2)</f>
        <v>8</v>
      </c>
    </row>
    <row r="3" spans="1:6" x14ac:dyDescent="0.25">
      <c r="A3" s="14" t="s">
        <v>40</v>
      </c>
      <c r="B3" s="15">
        <f>COUNTIF('1 Identification'!$A$2:$A$428,$A3)</f>
        <v>150</v>
      </c>
      <c r="C3" s="16">
        <f>COUNTIF('2 Screening'!$A$2:$A$173,$A3)</f>
        <v>44</v>
      </c>
      <c r="D3" s="16">
        <f>COUNTIF('3 Eligibility'!$A$2:$A$142,$A3)</f>
        <v>25</v>
      </c>
      <c r="E3" s="16">
        <f>COUNTIFS('3 Eligibility'!$T$2:$T$142,"&gt;=3.5", '3 Eligibility'!$A$2:$A$142,$A3)</f>
        <v>12</v>
      </c>
      <c r="F3" s="16">
        <f>COUNTIF('4 Included'!$A$2:$A$52,$A3)</f>
        <v>20</v>
      </c>
    </row>
    <row r="4" spans="1:6" x14ac:dyDescent="0.25">
      <c r="A4" s="14" t="s">
        <v>371</v>
      </c>
      <c r="B4" s="15">
        <f>COUNTIF('1 Identification'!$A$2:$A$428,$A4)</f>
        <v>36</v>
      </c>
      <c r="C4" s="16">
        <f>COUNTIF('2 Screening'!$A$2:$A$173,$A4)</f>
        <v>21</v>
      </c>
      <c r="D4" s="16">
        <f>COUNTIF('3 Eligibility'!$A$2:$A$142,$A4)</f>
        <v>21</v>
      </c>
      <c r="E4" s="16">
        <f>COUNTIFS('3 Eligibility'!$T$2:$T$142,"&gt;=3.5", '3 Eligibility'!$A$2:$A$142,$A4)</f>
        <v>8</v>
      </c>
      <c r="F4" s="16">
        <f>COUNTIF('4 Included'!$A$2:$A$52,$A4)</f>
        <v>10</v>
      </c>
    </row>
    <row r="5" spans="1:6" x14ac:dyDescent="0.25">
      <c r="A5" s="14" t="s">
        <v>425</v>
      </c>
      <c r="B5" s="15">
        <f>COUNTIF('1 Identification'!$A$2:$A$428,$A5)</f>
        <v>163</v>
      </c>
      <c r="C5" s="16">
        <f>COUNTIF('2 Screening'!$A$2:$A$173,$A5)</f>
        <v>80</v>
      </c>
      <c r="D5" s="16">
        <f>COUNTIF('3 Eligibility'!$A$2:$A$142,$A5)</f>
        <v>68</v>
      </c>
      <c r="E5" s="16">
        <f>COUNTIFS('3 Eligibility'!$T$2:$T$142,"&gt;=3.5", '3 Eligibility'!$A$2:$A$142,$A5)</f>
        <v>18</v>
      </c>
      <c r="F5" s="16">
        <f>COUNTIF('4 Included'!$A$2:$A$52,$A5)</f>
        <v>13</v>
      </c>
    </row>
    <row r="6" spans="1:6" x14ac:dyDescent="0.25">
      <c r="A6" s="17" t="s">
        <v>2376</v>
      </c>
      <c r="B6" s="13">
        <f>SUM(B2:B5)</f>
        <v>427</v>
      </c>
      <c r="C6" s="13">
        <f>SUM(C2:C5)</f>
        <v>172</v>
      </c>
      <c r="D6" s="13">
        <f>SUM(D2:D5)</f>
        <v>140</v>
      </c>
      <c r="E6" s="13">
        <f>SUM(E2:E5)</f>
        <v>51</v>
      </c>
      <c r="F6" s="13">
        <f>SUM(F2:F5)</f>
        <v>51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60C5-C55D-48F3-B497-D40C52F829E8}">
  <sheetPr>
    <tabColor theme="9"/>
  </sheetPr>
  <dimension ref="A1:B12"/>
  <sheetViews>
    <sheetView workbookViewId="0">
      <selection activeCell="L13" sqref="L13"/>
    </sheetView>
  </sheetViews>
  <sheetFormatPr defaultRowHeight="15" x14ac:dyDescent="0.25"/>
  <cols>
    <col min="1" max="1" width="23" customWidth="1"/>
    <col min="2" max="2" width="25.42578125" customWidth="1"/>
  </cols>
  <sheetData>
    <row r="1" spans="1:2" x14ac:dyDescent="0.25">
      <c r="A1" s="27" t="s">
        <v>365</v>
      </c>
      <c r="B1" s="29" t="s">
        <v>2390</v>
      </c>
    </row>
    <row r="2" spans="1:2" x14ac:dyDescent="0.25">
      <c r="A2" s="32" t="s">
        <v>2602</v>
      </c>
      <c r="B2" s="85">
        <f>COUNTIF('4 Included'!$D$2:$E$52,$A2)</f>
        <v>22</v>
      </c>
    </row>
    <row r="3" spans="1:2" x14ac:dyDescent="0.25">
      <c r="A3" s="32" t="s">
        <v>377</v>
      </c>
      <c r="B3" s="85">
        <f>COUNTIF('4 Included'!$D$2:$E$52,$A3)</f>
        <v>11</v>
      </c>
    </row>
    <row r="4" spans="1:2" x14ac:dyDescent="0.25">
      <c r="A4" s="32" t="s">
        <v>503</v>
      </c>
      <c r="B4" s="85">
        <f>COUNTIF('4 Included'!$D$2:$E$52,$A4)</f>
        <v>6</v>
      </c>
    </row>
    <row r="5" spans="1:2" x14ac:dyDescent="0.25">
      <c r="A5" s="32" t="s">
        <v>370</v>
      </c>
      <c r="B5" s="85">
        <f>COUNTIF('4 Included'!$D$2:$E$52,$A5)</f>
        <v>5</v>
      </c>
    </row>
    <row r="6" spans="1:2" x14ac:dyDescent="0.25">
      <c r="A6" s="32" t="s">
        <v>502</v>
      </c>
      <c r="B6" s="85">
        <f>COUNTIF('4 Included'!$D$2:$E$52,$A6)</f>
        <v>2</v>
      </c>
    </row>
    <row r="7" spans="1:2" x14ac:dyDescent="0.25">
      <c r="A7" s="32" t="s">
        <v>464</v>
      </c>
      <c r="B7" s="85">
        <f>COUNTIF('4 Included'!$D$2:$E$52,$A7)</f>
        <v>1</v>
      </c>
    </row>
    <row r="8" spans="1:2" x14ac:dyDescent="0.25">
      <c r="A8" s="32" t="s">
        <v>2603</v>
      </c>
      <c r="B8" s="85">
        <f>COUNTIF('4 Included'!$D$2:$E$52,$A8)</f>
        <v>1</v>
      </c>
    </row>
    <row r="9" spans="1:2" x14ac:dyDescent="0.25">
      <c r="A9" s="32" t="s">
        <v>2604</v>
      </c>
      <c r="B9" s="85">
        <f>COUNTIF('4 Included'!$D$2:$E$52,$A9)</f>
        <v>1</v>
      </c>
    </row>
    <row r="10" spans="1:2" x14ac:dyDescent="0.25">
      <c r="A10" s="32" t="s">
        <v>2606</v>
      </c>
      <c r="B10" s="85">
        <f>COUNTIF('4 Included'!$D$2:$E$52,$A10)</f>
        <v>1</v>
      </c>
    </row>
    <row r="11" spans="1:2" x14ac:dyDescent="0.25">
      <c r="A11" s="32" t="s">
        <v>2608</v>
      </c>
      <c r="B11" s="85">
        <f>COUNTIF('4 Included'!$D$2:$E$52,$A11)</f>
        <v>1</v>
      </c>
    </row>
    <row r="12" spans="1:2" x14ac:dyDescent="0.25">
      <c r="A12" s="86" t="s">
        <v>2376</v>
      </c>
      <c r="B12" s="87">
        <f>SUM(B2:B11)</f>
        <v>51</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81075-D074-4D2C-8CFC-54DAD774CE62}">
  <sheetPr codeName="Sheet4">
    <tabColor theme="9"/>
  </sheetPr>
  <dimension ref="A1:B5"/>
  <sheetViews>
    <sheetView zoomScale="115" zoomScaleNormal="115" workbookViewId="0">
      <selection activeCell="B2" sqref="B2"/>
    </sheetView>
  </sheetViews>
  <sheetFormatPr defaultRowHeight="15" x14ac:dyDescent="0.25"/>
  <cols>
    <col min="1" max="1" width="22.5703125" customWidth="1"/>
    <col min="2" max="2" width="22.140625" customWidth="1"/>
  </cols>
  <sheetData>
    <row r="1" spans="1:2" x14ac:dyDescent="0.25">
      <c r="A1" s="12" t="s">
        <v>359</v>
      </c>
      <c r="B1" s="13" t="s">
        <v>2384</v>
      </c>
    </row>
    <row r="2" spans="1:2" x14ac:dyDescent="0.25">
      <c r="A2" s="35" t="s">
        <v>14</v>
      </c>
      <c r="B2" s="15">
        <f>COUNTIF('4 Included'!$D$2:$D$52,$A2)</f>
        <v>27</v>
      </c>
    </row>
    <row r="3" spans="1:2" x14ac:dyDescent="0.25">
      <c r="A3" s="36" t="s">
        <v>34</v>
      </c>
      <c r="B3" s="15">
        <f>COUNTIF('4 Included'!$D$2:$D$52,$A3)</f>
        <v>23</v>
      </c>
    </row>
    <row r="4" spans="1:2" x14ac:dyDescent="0.25">
      <c r="A4" s="35" t="s">
        <v>130</v>
      </c>
      <c r="B4" s="15">
        <f>COUNTIF('4 Included'!$D$2:$D$52,$A4)</f>
        <v>1</v>
      </c>
    </row>
    <row r="5" spans="1:2" x14ac:dyDescent="0.25">
      <c r="A5" s="17" t="s">
        <v>2376</v>
      </c>
      <c r="B5" s="13">
        <f>SUM(B2:B4)</f>
        <v>51</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1197-4713-4BEA-89FA-626CA2F86049}">
  <sheetPr codeName="Sheet2">
    <tabColor theme="9"/>
  </sheetPr>
  <dimension ref="A1:C7"/>
  <sheetViews>
    <sheetView zoomScale="115" zoomScaleNormal="115" workbookViewId="0">
      <selection sqref="A1:B7"/>
    </sheetView>
  </sheetViews>
  <sheetFormatPr defaultRowHeight="15" x14ac:dyDescent="0.25"/>
  <cols>
    <col min="1" max="1" width="17" customWidth="1"/>
    <col min="2" max="2" width="24.42578125" customWidth="1"/>
    <col min="3" max="3" width="24.85546875" customWidth="1"/>
    <col min="6" max="6" width="9.140625" customWidth="1"/>
  </cols>
  <sheetData>
    <row r="1" spans="1:3" x14ac:dyDescent="0.25">
      <c r="A1" s="27" t="s">
        <v>2</v>
      </c>
      <c r="B1" s="28" t="s">
        <v>2390</v>
      </c>
      <c r="C1" s="29" t="s">
        <v>2391</v>
      </c>
    </row>
    <row r="2" spans="1:3" x14ac:dyDescent="0.25">
      <c r="A2" s="30">
        <v>2020</v>
      </c>
      <c r="B2" s="14">
        <f>COUNTIF('1 Identification'!$D$2:$D$428,$A2)</f>
        <v>15</v>
      </c>
      <c r="C2" s="31">
        <f>COUNTIF('4 Included'!$C$2:$C$52,$A2)</f>
        <v>3</v>
      </c>
    </row>
    <row r="3" spans="1:3" x14ac:dyDescent="0.25">
      <c r="A3" s="30">
        <v>2021</v>
      </c>
      <c r="B3" s="14">
        <f>COUNTIF('1 Identification'!$D$2:$D$428,$A3)</f>
        <v>66</v>
      </c>
      <c r="C3" s="31">
        <f>COUNTIF('4 Included'!$C$2:$C$52,$A3)</f>
        <v>10</v>
      </c>
    </row>
    <row r="4" spans="1:3" x14ac:dyDescent="0.25">
      <c r="A4" s="30">
        <v>2022</v>
      </c>
      <c r="B4" s="14">
        <f>COUNTIF('1 Identification'!$D$2:$D$428,$A4)</f>
        <v>148</v>
      </c>
      <c r="C4" s="31">
        <f>COUNTIF('4 Included'!$C$2:$C$52,$A4)</f>
        <v>15</v>
      </c>
    </row>
    <row r="5" spans="1:3" x14ac:dyDescent="0.25">
      <c r="A5" s="32">
        <v>2023</v>
      </c>
      <c r="B5" s="14">
        <f>COUNTIF('1 Identification'!$D$2:$D$428,$A5)</f>
        <v>175</v>
      </c>
      <c r="C5" s="31">
        <f>COUNTIF('4 Included'!$C$2:$C$52,$A5)</f>
        <v>20</v>
      </c>
    </row>
    <row r="6" spans="1:3" x14ac:dyDescent="0.25">
      <c r="A6" s="32">
        <v>2024</v>
      </c>
      <c r="B6" s="14">
        <f>COUNTIF('1 Identification'!$D$2:$D$428,$A6)</f>
        <v>23</v>
      </c>
      <c r="C6" s="31">
        <f>COUNTIF('4 Included'!$C$2:$C$52,$A6)</f>
        <v>3</v>
      </c>
    </row>
    <row r="7" spans="1:3" x14ac:dyDescent="0.25">
      <c r="A7" s="33" t="s">
        <v>2376</v>
      </c>
      <c r="B7" s="34">
        <f>SUM(B2:B6)</f>
        <v>427</v>
      </c>
      <c r="C7" s="34">
        <f>SUM(C2:C6)</f>
        <v>51</v>
      </c>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7B233-B744-4A00-BDDF-F8DE39005F37}">
  <sheetPr codeName="Sheet14">
    <tabColor theme="9"/>
  </sheetPr>
  <dimension ref="A1:B11"/>
  <sheetViews>
    <sheetView zoomScaleNormal="100" workbookViewId="0">
      <selection activeCell="H28" sqref="H28"/>
    </sheetView>
  </sheetViews>
  <sheetFormatPr defaultRowHeight="15" x14ac:dyDescent="0.25"/>
  <cols>
    <col min="1" max="1" width="14.5703125" customWidth="1"/>
    <col min="2" max="2" width="13.7109375" customWidth="1"/>
  </cols>
  <sheetData>
    <row r="1" spans="1:2" x14ac:dyDescent="0.25">
      <c r="A1" s="12" t="s">
        <v>2383</v>
      </c>
      <c r="B1" s="13" t="s">
        <v>2384</v>
      </c>
    </row>
    <row r="2" spans="1:2" x14ac:dyDescent="0.25">
      <c r="A2" s="14">
        <v>0</v>
      </c>
      <c r="B2" s="15">
        <f>COUNTIF('3 Eligibility'!$T$2:$T$142,$A2)</f>
        <v>0</v>
      </c>
    </row>
    <row r="3" spans="1:2" x14ac:dyDescent="0.25">
      <c r="A3" s="14">
        <v>0.5</v>
      </c>
      <c r="B3" s="15">
        <f>COUNTIF('3 Eligibility'!$T$2:$T$142,$A3)</f>
        <v>3</v>
      </c>
    </row>
    <row r="4" spans="1:2" x14ac:dyDescent="0.25">
      <c r="A4" s="14">
        <v>1</v>
      </c>
      <c r="B4" s="15">
        <f>COUNTIF('3 Eligibility'!$T$2:$T$142,$A4)</f>
        <v>5</v>
      </c>
    </row>
    <row r="5" spans="1:2" x14ac:dyDescent="0.25">
      <c r="A5" s="14">
        <v>1.5</v>
      </c>
      <c r="B5" s="15">
        <f>COUNTIF('3 Eligibility'!$T$2:$T$142,$A5)</f>
        <v>38</v>
      </c>
    </row>
    <row r="6" spans="1:2" x14ac:dyDescent="0.25">
      <c r="A6" s="14">
        <v>2</v>
      </c>
      <c r="B6" s="15">
        <f>COUNTIF('3 Eligibility'!$T$2:$T$142,$A6)</f>
        <v>28</v>
      </c>
    </row>
    <row r="7" spans="1:2" x14ac:dyDescent="0.25">
      <c r="A7" s="14">
        <v>2.5</v>
      </c>
      <c r="B7" s="15">
        <f>COUNTIF('3 Eligibility'!$T$2:$T$142,$A7)</f>
        <v>10</v>
      </c>
    </row>
    <row r="8" spans="1:2" x14ac:dyDescent="0.25">
      <c r="A8" s="14">
        <v>3</v>
      </c>
      <c r="B8" s="15">
        <f>COUNTIF('3 Eligibility'!$T$2:$T$142,$A8)</f>
        <v>5</v>
      </c>
    </row>
    <row r="9" spans="1:2" x14ac:dyDescent="0.25">
      <c r="A9" s="14">
        <v>3.5</v>
      </c>
      <c r="B9" s="15">
        <f>COUNTIF('3 Eligibility'!$T$2:$T$142,$A9)</f>
        <v>15</v>
      </c>
    </row>
    <row r="10" spans="1:2" x14ac:dyDescent="0.25">
      <c r="A10" s="14">
        <v>4</v>
      </c>
      <c r="B10" s="15">
        <f>COUNTIF('3 Eligibility'!$T$2:$T$142,$A10)</f>
        <v>37</v>
      </c>
    </row>
    <row r="11" spans="1:2" x14ac:dyDescent="0.25">
      <c r="A11" s="17" t="s">
        <v>2376</v>
      </c>
      <c r="B11" s="15">
        <f>SUM(B2:B10)</f>
        <v>141</v>
      </c>
    </row>
  </sheetData>
  <pageMargins left="0.7" right="0.7" top="0.75" bottom="0.75" header="0.3" footer="0.3"/>
  <pageSetup scale="9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7F32-B7AA-4A39-92D4-FEEAB95F8BC1}">
  <sheetPr>
    <tabColor theme="9"/>
  </sheetPr>
  <dimension ref="A1:D51"/>
  <sheetViews>
    <sheetView topLeftCell="A25" zoomScale="85" zoomScaleNormal="85" workbookViewId="0">
      <selection activeCell="C10" sqref="C10"/>
    </sheetView>
  </sheetViews>
  <sheetFormatPr defaultRowHeight="15.75" x14ac:dyDescent="0.25"/>
  <cols>
    <col min="1" max="1" width="24.85546875" style="78" customWidth="1"/>
    <col min="2" max="2" width="29.85546875" style="78" customWidth="1"/>
    <col min="3" max="3" width="16.5703125" style="64" customWidth="1"/>
    <col min="4" max="4" width="18.140625" style="65" customWidth="1"/>
  </cols>
  <sheetData>
    <row r="1" spans="1:4" x14ac:dyDescent="0.25">
      <c r="A1" s="73" t="s">
        <v>2592</v>
      </c>
      <c r="B1" s="72" t="s">
        <v>2591</v>
      </c>
      <c r="C1" s="66" t="s">
        <v>2594</v>
      </c>
      <c r="D1" s="67" t="s">
        <v>2593</v>
      </c>
    </row>
    <row r="2" spans="1:4" x14ac:dyDescent="0.25">
      <c r="A2" s="75" t="s">
        <v>2552</v>
      </c>
      <c r="B2" s="74" t="s">
        <v>2552</v>
      </c>
      <c r="C2" s="71">
        <f>D2</f>
        <v>2</v>
      </c>
      <c r="D2" s="68" cm="1">
        <f t="array" ref="D2">SUMPRODUCT(--(ISNUMBER(SEARCH($B2,'4 Included'!$P$2:$P$52))))</f>
        <v>2</v>
      </c>
    </row>
    <row r="3" spans="1:4" x14ac:dyDescent="0.25">
      <c r="A3" s="75" t="s">
        <v>2498</v>
      </c>
      <c r="B3" s="74" t="s">
        <v>2498</v>
      </c>
      <c r="C3" s="71">
        <f t="shared" ref="C3:C50" si="0">D3</f>
        <v>1</v>
      </c>
      <c r="D3" s="68" cm="1">
        <f t="array" ref="D3">SUMPRODUCT(--(ISNUMBER(SEARCH($B3,'4 Included'!$P$2:$P$52))))</f>
        <v>1</v>
      </c>
    </row>
    <row r="4" spans="1:4" x14ac:dyDescent="0.25">
      <c r="A4" s="75" t="s">
        <v>2494</v>
      </c>
      <c r="B4" s="74" t="s">
        <v>2494</v>
      </c>
      <c r="C4" s="71">
        <f t="shared" si="0"/>
        <v>23</v>
      </c>
      <c r="D4" s="68" cm="1">
        <f t="array" ref="D4">SUMPRODUCT(--(ISNUMBER(SEARCH($B4,'4 Included'!$P$2:$P$52))))</f>
        <v>23</v>
      </c>
    </row>
    <row r="5" spans="1:4" x14ac:dyDescent="0.25">
      <c r="A5" s="75" t="s">
        <v>2539</v>
      </c>
      <c r="B5" s="74" t="s">
        <v>2539</v>
      </c>
      <c r="C5" s="71">
        <f t="shared" si="0"/>
        <v>1</v>
      </c>
      <c r="D5" s="68" cm="1">
        <f t="array" ref="D5">SUMPRODUCT(--(ISNUMBER(SEARCH($B5,'4 Included'!$P$2:$P$52))))</f>
        <v>1</v>
      </c>
    </row>
    <row r="6" spans="1:4" x14ac:dyDescent="0.25">
      <c r="A6" s="88" t="s">
        <v>2550</v>
      </c>
      <c r="B6" s="74" t="s">
        <v>2550</v>
      </c>
      <c r="C6" s="91">
        <f>SUM(D6:D9)</f>
        <v>11</v>
      </c>
      <c r="D6" s="68" cm="1">
        <f t="array" ref="D6">SUMPRODUCT(--(ISNUMBER(SEARCH($B6,'4 Included'!$P$2:$P$52))))</f>
        <v>1</v>
      </c>
    </row>
    <row r="7" spans="1:4" x14ac:dyDescent="0.25">
      <c r="A7" s="89"/>
      <c r="B7" s="74" t="s">
        <v>2553</v>
      </c>
      <c r="C7" s="92"/>
      <c r="D7" s="68" cm="1">
        <f t="array" ref="D7">SUMPRODUCT(--(ISNUMBER(SEARCH($B7,'4 Included'!$P$2:$P$52))))</f>
        <v>5</v>
      </c>
    </row>
    <row r="8" spans="1:4" x14ac:dyDescent="0.25">
      <c r="A8" s="89"/>
      <c r="B8" s="74" t="s">
        <v>2554</v>
      </c>
      <c r="C8" s="92"/>
      <c r="D8" s="68" cm="1">
        <f t="array" ref="D8">SUMPRODUCT(--(ISNUMBER(SEARCH($B8,'4 Included'!$P$2:$P$52))))</f>
        <v>3</v>
      </c>
    </row>
    <row r="9" spans="1:4" x14ac:dyDescent="0.25">
      <c r="A9" s="90"/>
      <c r="B9" s="74" t="s">
        <v>2511</v>
      </c>
      <c r="C9" s="93"/>
      <c r="D9" s="68" cm="1">
        <f t="array" ref="D9">SUMPRODUCT(--(ISNUMBER(SEARCH($B9,'4 Included'!$P$2:$P$52))))</f>
        <v>2</v>
      </c>
    </row>
    <row r="10" spans="1:4" x14ac:dyDescent="0.25">
      <c r="A10" s="75" t="s">
        <v>2587</v>
      </c>
      <c r="B10" s="74" t="s">
        <v>2555</v>
      </c>
      <c r="C10" s="71">
        <f t="shared" si="0"/>
        <v>1</v>
      </c>
      <c r="D10" s="68" cm="1">
        <f t="array" ref="D10">SUMPRODUCT(--(ISNUMBER(SEARCH($B10,'4 Included'!$P$2:$P$52))))</f>
        <v>1</v>
      </c>
    </row>
    <row r="11" spans="1:4" x14ac:dyDescent="0.25">
      <c r="A11" s="75" t="s">
        <v>2515</v>
      </c>
      <c r="B11" s="74" t="s">
        <v>2515</v>
      </c>
      <c r="C11" s="71">
        <f t="shared" si="0"/>
        <v>1</v>
      </c>
      <c r="D11" s="68" cm="1">
        <f t="array" ref="D11">SUMPRODUCT(--(ISNUMBER(SEARCH($B11,'4 Included'!$P$2:$P$52))))</f>
        <v>1</v>
      </c>
    </row>
    <row r="12" spans="1:4" x14ac:dyDescent="0.25">
      <c r="A12" s="75" t="s">
        <v>2516</v>
      </c>
      <c r="B12" s="74" t="s">
        <v>2516</v>
      </c>
      <c r="C12" s="71">
        <f t="shared" si="0"/>
        <v>1</v>
      </c>
      <c r="D12" s="68" cm="1">
        <f t="array" ref="D12">SUMPRODUCT(--(ISNUMBER(SEARCH($B12,'4 Included'!$P$2:$P$52))))</f>
        <v>1</v>
      </c>
    </row>
    <row r="13" spans="1:4" x14ac:dyDescent="0.25">
      <c r="A13" s="88" t="s">
        <v>2556</v>
      </c>
      <c r="B13" s="74" t="s">
        <v>2556</v>
      </c>
      <c r="C13" s="91">
        <f>SUM(D13:D18)</f>
        <v>10</v>
      </c>
      <c r="D13" s="68" cm="1">
        <f t="array" ref="D13">SUMPRODUCT(--(ISNUMBER(SEARCH($B13,'4 Included'!$P$2:$P$52))))</f>
        <v>2</v>
      </c>
    </row>
    <row r="14" spans="1:4" x14ac:dyDescent="0.25">
      <c r="A14" s="89"/>
      <c r="B14" s="74" t="s">
        <v>2557</v>
      </c>
      <c r="C14" s="92"/>
      <c r="D14" s="68" cm="1">
        <f t="array" ref="D14">SUMPRODUCT(--(ISNUMBER(SEARCH($B14,'4 Included'!$P$2:$P$52))))</f>
        <v>2</v>
      </c>
    </row>
    <row r="15" spans="1:4" x14ac:dyDescent="0.25">
      <c r="A15" s="89"/>
      <c r="B15" s="74" t="s">
        <v>2558</v>
      </c>
      <c r="C15" s="92"/>
      <c r="D15" s="68" cm="1">
        <f t="array" ref="D15">SUMPRODUCT(--(ISNUMBER(SEARCH($B15,'4 Included'!$P$2:$P$52))))</f>
        <v>1</v>
      </c>
    </row>
    <row r="16" spans="1:4" x14ac:dyDescent="0.25">
      <c r="A16" s="89"/>
      <c r="B16" s="74" t="s">
        <v>2559</v>
      </c>
      <c r="C16" s="92"/>
      <c r="D16" s="68" cm="1">
        <f t="array" ref="D16">SUMPRODUCT(--(ISNUMBER(SEARCH($B16,'4 Included'!$P$2:$P$52))))</f>
        <v>1</v>
      </c>
    </row>
    <row r="17" spans="1:4" x14ac:dyDescent="0.25">
      <c r="A17" s="89"/>
      <c r="B17" s="74" t="s">
        <v>2560</v>
      </c>
      <c r="C17" s="92"/>
      <c r="D17" s="68" cm="1">
        <f t="array" ref="D17">SUMPRODUCT(--(ISNUMBER(SEARCH($B17,'4 Included'!$P$2:$P$52))))</f>
        <v>2</v>
      </c>
    </row>
    <row r="18" spans="1:4" x14ac:dyDescent="0.25">
      <c r="A18" s="90"/>
      <c r="B18" s="74" t="s">
        <v>2585</v>
      </c>
      <c r="C18" s="93"/>
      <c r="D18" s="68" cm="1">
        <f t="array" ref="D18">SUMPRODUCT(--(ISNUMBER(SEARCH($B18,'4 Included'!$P$2:$P$52))))</f>
        <v>2</v>
      </c>
    </row>
    <row r="19" spans="1:4" x14ac:dyDescent="0.25">
      <c r="A19" s="75" t="s">
        <v>2518</v>
      </c>
      <c r="B19" s="74" t="s">
        <v>2518</v>
      </c>
      <c r="C19" s="71">
        <f t="shared" si="0"/>
        <v>1</v>
      </c>
      <c r="D19" s="68" cm="1">
        <f t="array" ref="D19">SUMPRODUCT(--(ISNUMBER(SEARCH($B19,'4 Included'!$P$2:$P$52))))</f>
        <v>1</v>
      </c>
    </row>
    <row r="20" spans="1:4" x14ac:dyDescent="0.25">
      <c r="A20" s="75" t="s">
        <v>2561</v>
      </c>
      <c r="B20" s="74" t="s">
        <v>2561</v>
      </c>
      <c r="C20" s="71">
        <f t="shared" si="0"/>
        <v>1</v>
      </c>
      <c r="D20" s="68" cm="1">
        <f t="array" ref="D20">SUMPRODUCT(--(ISNUMBER(SEARCH($B20,'4 Included'!$P$2:$P$52))))</f>
        <v>1</v>
      </c>
    </row>
    <row r="21" spans="1:4" x14ac:dyDescent="0.25">
      <c r="A21" s="75" t="s">
        <v>2541</v>
      </c>
      <c r="B21" s="74" t="s">
        <v>2541</v>
      </c>
      <c r="C21" s="71">
        <f t="shared" si="0"/>
        <v>1</v>
      </c>
      <c r="D21" s="68" cm="1">
        <f t="array" ref="D21">SUMPRODUCT(--(ISNUMBER(SEARCH($B21,'4 Included'!$P$2:$P$52))))</f>
        <v>1</v>
      </c>
    </row>
    <row r="22" spans="1:4" x14ac:dyDescent="0.25">
      <c r="A22" s="75" t="s">
        <v>2562</v>
      </c>
      <c r="B22" s="74" t="s">
        <v>2562</v>
      </c>
      <c r="C22" s="71">
        <f t="shared" si="0"/>
        <v>1</v>
      </c>
      <c r="D22" s="68" cm="1">
        <f t="array" ref="D22">SUMPRODUCT(--(ISNUMBER(SEARCH($B22,'4 Included'!$P$2:$P$52))))</f>
        <v>1</v>
      </c>
    </row>
    <row r="23" spans="1:4" x14ac:dyDescent="0.25">
      <c r="A23" s="75" t="s">
        <v>2519</v>
      </c>
      <c r="B23" s="74" t="s">
        <v>2519</v>
      </c>
      <c r="C23" s="71">
        <f t="shared" si="0"/>
        <v>1</v>
      </c>
      <c r="D23" s="68" cm="1">
        <f t="array" ref="D23">SUMPRODUCT(--(ISNUMBER(SEARCH($B23,'4 Included'!$P$2:$P$52))))</f>
        <v>1</v>
      </c>
    </row>
    <row r="24" spans="1:4" x14ac:dyDescent="0.25">
      <c r="A24" s="88" t="s">
        <v>2563</v>
      </c>
      <c r="B24" s="74" t="s">
        <v>2563</v>
      </c>
      <c r="C24" s="91">
        <f>SUM(D24:D26)</f>
        <v>7</v>
      </c>
      <c r="D24" s="68" cm="1">
        <f t="array" ref="D24">SUMPRODUCT(--(ISNUMBER(SEARCH($B24,'4 Included'!$P$2:$P$52))))</f>
        <v>1</v>
      </c>
    </row>
    <row r="25" spans="1:4" x14ac:dyDescent="0.25">
      <c r="A25" s="89"/>
      <c r="B25" s="74" t="s">
        <v>2564</v>
      </c>
      <c r="C25" s="92"/>
      <c r="D25" s="68" cm="1">
        <f t="array" ref="D25">SUMPRODUCT(--(ISNUMBER(SEARCH($B25,'4 Included'!$P$2:$P$52))))</f>
        <v>1</v>
      </c>
    </row>
    <row r="26" spans="1:4" x14ac:dyDescent="0.25">
      <c r="A26" s="90"/>
      <c r="B26" s="74" t="s">
        <v>2565</v>
      </c>
      <c r="C26" s="93"/>
      <c r="D26" s="68" cm="1">
        <f t="array" ref="D26">SUMPRODUCT(--(ISNUMBER(SEARCH($B26,'4 Included'!$P$2:$P$52))))</f>
        <v>5</v>
      </c>
    </row>
    <row r="27" spans="1:4" x14ac:dyDescent="0.25">
      <c r="A27" s="75" t="s">
        <v>2566</v>
      </c>
      <c r="B27" s="74" t="s">
        <v>2566</v>
      </c>
      <c r="C27" s="71">
        <f t="shared" si="0"/>
        <v>1</v>
      </c>
      <c r="D27" s="68" cm="1">
        <f t="array" ref="D27">SUMPRODUCT(--(ISNUMBER(SEARCH($B27,'4 Included'!$P$2:$P$52))))</f>
        <v>1</v>
      </c>
    </row>
    <row r="28" spans="1:4" x14ac:dyDescent="0.25">
      <c r="A28" s="75" t="s">
        <v>2510</v>
      </c>
      <c r="B28" s="74" t="s">
        <v>2510</v>
      </c>
      <c r="C28" s="71">
        <f t="shared" si="0"/>
        <v>2</v>
      </c>
      <c r="D28" s="68" cm="1">
        <f t="array" ref="D28">SUMPRODUCT(--(ISNUMBER(SEARCH($B28,'4 Included'!$P$2:$P$52))))</f>
        <v>2</v>
      </c>
    </row>
    <row r="29" spans="1:4" x14ac:dyDescent="0.25">
      <c r="A29" s="88" t="s">
        <v>2567</v>
      </c>
      <c r="B29" s="74" t="s">
        <v>2567</v>
      </c>
      <c r="C29" s="91">
        <f>SUM(D29:D31)</f>
        <v>6</v>
      </c>
      <c r="D29" s="68" cm="1">
        <f t="array" ref="D29">SUMPRODUCT(--(ISNUMBER(SEARCH($B29,'4 Included'!$P$2:$P$52))))</f>
        <v>2</v>
      </c>
    </row>
    <row r="30" spans="1:4" x14ac:dyDescent="0.25">
      <c r="A30" s="89"/>
      <c r="B30" s="74" t="s">
        <v>2568</v>
      </c>
      <c r="C30" s="92"/>
      <c r="D30" s="68" cm="1">
        <f t="array" ref="D30">SUMPRODUCT(--(ISNUMBER(SEARCH($B30,'4 Included'!$P$2:$P$52))))</f>
        <v>2</v>
      </c>
    </row>
    <row r="31" spans="1:4" x14ac:dyDescent="0.25">
      <c r="A31" s="90"/>
      <c r="B31" s="74" t="s">
        <v>2569</v>
      </c>
      <c r="C31" s="93"/>
      <c r="D31" s="68" cm="1">
        <f t="array" ref="D31">SUMPRODUCT(--(ISNUMBER(SEARCH($B31,'4 Included'!$P$2:$P$52))))</f>
        <v>2</v>
      </c>
    </row>
    <row r="32" spans="1:4" x14ac:dyDescent="0.25">
      <c r="A32" s="75" t="s">
        <v>2570</v>
      </c>
      <c r="B32" s="74" t="s">
        <v>2570</v>
      </c>
      <c r="C32" s="71">
        <f t="shared" si="0"/>
        <v>1</v>
      </c>
      <c r="D32" s="68" cm="1">
        <f t="array" ref="D32">SUMPRODUCT(--(ISNUMBER(SEARCH($B32,'4 Included'!$P$2:$P$52))))</f>
        <v>1</v>
      </c>
    </row>
    <row r="33" spans="1:4" x14ac:dyDescent="0.25">
      <c r="A33" s="75" t="s">
        <v>2571</v>
      </c>
      <c r="B33" s="74" t="s">
        <v>2571</v>
      </c>
      <c r="C33" s="71">
        <f t="shared" si="0"/>
        <v>1</v>
      </c>
      <c r="D33" s="68" cm="1">
        <f t="array" ref="D33">SUMPRODUCT(--(ISNUMBER(SEARCH($B33,'4 Included'!$P$2:$P$52))))</f>
        <v>1</v>
      </c>
    </row>
    <row r="34" spans="1:4" x14ac:dyDescent="0.25">
      <c r="A34" s="75" t="s">
        <v>2572</v>
      </c>
      <c r="B34" s="74" t="s">
        <v>2572</v>
      </c>
      <c r="C34" s="71">
        <f t="shared" si="0"/>
        <v>1</v>
      </c>
      <c r="D34" s="68" cm="1">
        <f t="array" ref="D34">SUMPRODUCT(--(ISNUMBER(SEARCH($B34,'4 Included'!$P$2:$P$52))))</f>
        <v>1</v>
      </c>
    </row>
    <row r="35" spans="1:4" x14ac:dyDescent="0.25">
      <c r="A35" s="88" t="s">
        <v>2548</v>
      </c>
      <c r="B35" s="74" t="s">
        <v>2548</v>
      </c>
      <c r="C35" s="91">
        <f>SUM(D35:D41)</f>
        <v>19</v>
      </c>
      <c r="D35" s="68" cm="1">
        <f t="array" ref="D35">SUMPRODUCT(--(ISNUMBER(SEARCH($B35,'4 Included'!$P$2:$P$52))))</f>
        <v>2</v>
      </c>
    </row>
    <row r="36" spans="1:4" x14ac:dyDescent="0.25">
      <c r="A36" s="89"/>
      <c r="B36" s="74" t="s">
        <v>2576</v>
      </c>
      <c r="C36" s="92"/>
      <c r="D36" s="68" cm="1">
        <f t="array" ref="D36">SUMPRODUCT(--(ISNUMBER(SEARCH($B36,'4 Included'!$P$2:$P$52))))</f>
        <v>3</v>
      </c>
    </row>
    <row r="37" spans="1:4" x14ac:dyDescent="0.25">
      <c r="A37" s="89"/>
      <c r="B37" s="74" t="s">
        <v>2577</v>
      </c>
      <c r="C37" s="92"/>
      <c r="D37" s="68" cm="1">
        <f t="array" ref="D37">SUMPRODUCT(--(ISNUMBER(SEARCH($B37,'4 Included'!$P$2:$P$52))))</f>
        <v>1</v>
      </c>
    </row>
    <row r="38" spans="1:4" x14ac:dyDescent="0.25">
      <c r="A38" s="89"/>
      <c r="B38" s="74" t="s">
        <v>2573</v>
      </c>
      <c r="C38" s="92"/>
      <c r="D38" s="68" cm="1">
        <f t="array" ref="D38">SUMPRODUCT(--(ISNUMBER(SEARCH($B38,'4 Included'!$P$2:$P$52))))</f>
        <v>1</v>
      </c>
    </row>
    <row r="39" spans="1:4" x14ac:dyDescent="0.25">
      <c r="A39" s="89"/>
      <c r="B39" s="74" t="s">
        <v>2574</v>
      </c>
      <c r="C39" s="92"/>
      <c r="D39" s="68" cm="1">
        <f t="array" ref="D39">SUMPRODUCT(--(ISNUMBER(SEARCH($B39,'4 Included'!$P$2:$P$52))))</f>
        <v>1</v>
      </c>
    </row>
    <row r="40" spans="1:4" x14ac:dyDescent="0.25">
      <c r="A40" s="89"/>
      <c r="B40" s="74" t="s">
        <v>2575</v>
      </c>
      <c r="C40" s="92"/>
      <c r="D40" s="68" cm="1">
        <f t="array" ref="D40">SUMPRODUCT(--(ISNUMBER(SEARCH($B40,'4 Included'!$P$2:$P$52))))</f>
        <v>1</v>
      </c>
    </row>
    <row r="41" spans="1:4" x14ac:dyDescent="0.25">
      <c r="A41" s="90"/>
      <c r="B41" s="74" t="s">
        <v>2493</v>
      </c>
      <c r="C41" s="93"/>
      <c r="D41" s="68" cm="1">
        <f t="array" ref="D41">SUMPRODUCT(--(ISNUMBER(SEARCH($B41,'4 Included'!$P$2:$P$52))))</f>
        <v>10</v>
      </c>
    </row>
    <row r="42" spans="1:4" x14ac:dyDescent="0.25">
      <c r="A42" s="75" t="s">
        <v>2578</v>
      </c>
      <c r="B42" s="74" t="s">
        <v>2578</v>
      </c>
      <c r="C42" s="71">
        <f t="shared" si="0"/>
        <v>2</v>
      </c>
      <c r="D42" s="68" cm="1">
        <f t="array" ref="D42">SUMPRODUCT(--(ISNUMBER(SEARCH($B42,'4 Included'!$P$2:$P$52))))</f>
        <v>2</v>
      </c>
    </row>
    <row r="43" spans="1:4" x14ac:dyDescent="0.25">
      <c r="A43" s="75" t="s">
        <v>2579</v>
      </c>
      <c r="B43" s="74" t="s">
        <v>2579</v>
      </c>
      <c r="C43" s="71">
        <f t="shared" si="0"/>
        <v>1</v>
      </c>
      <c r="D43" s="68" cm="1">
        <f t="array" ref="D43">SUMPRODUCT(--(ISNUMBER(SEARCH($B43,'4 Included'!$P$2:$P$52))))</f>
        <v>1</v>
      </c>
    </row>
    <row r="44" spans="1:4" x14ac:dyDescent="0.25">
      <c r="A44" s="88" t="s">
        <v>2549</v>
      </c>
      <c r="B44" s="74" t="s">
        <v>2549</v>
      </c>
      <c r="C44" s="91">
        <f>SUM(D44:D46)</f>
        <v>18</v>
      </c>
      <c r="D44" s="68" cm="1">
        <f t="array" ref="D44">SUMPRODUCT(--(ISNUMBER(SEARCH($B44,'4 Included'!$P$2:$P$52))))</f>
        <v>2</v>
      </c>
    </row>
    <row r="45" spans="1:4" x14ac:dyDescent="0.25">
      <c r="A45" s="89"/>
      <c r="B45" s="74" t="s">
        <v>2540</v>
      </c>
      <c r="C45" s="92"/>
      <c r="D45" s="68" cm="1">
        <f t="array" ref="D45">SUMPRODUCT(--(ISNUMBER(SEARCH($B45,'4 Included'!$P$2:$P$52))))</f>
        <v>12</v>
      </c>
    </row>
    <row r="46" spans="1:4" x14ac:dyDescent="0.25">
      <c r="A46" s="90"/>
      <c r="B46" s="74" t="s">
        <v>2580</v>
      </c>
      <c r="C46" s="93"/>
      <c r="D46" s="68" cm="1">
        <f t="array" ref="D46">SUMPRODUCT(--(ISNUMBER(SEARCH($B46,'4 Included'!$P$2:$P$52))))</f>
        <v>4</v>
      </c>
    </row>
    <row r="47" spans="1:4" x14ac:dyDescent="0.25">
      <c r="A47" s="75" t="s">
        <v>2581</v>
      </c>
      <c r="B47" s="74" t="s">
        <v>2581</v>
      </c>
      <c r="C47" s="71">
        <f t="shared" si="0"/>
        <v>1</v>
      </c>
      <c r="D47" s="68" cm="1">
        <f t="array" ref="D47">SUMPRODUCT(--(ISNUMBER(SEARCH($B47,'4 Included'!$P$2:$P$52))))</f>
        <v>1</v>
      </c>
    </row>
    <row r="48" spans="1:4" x14ac:dyDescent="0.25">
      <c r="A48" s="75" t="s">
        <v>2582</v>
      </c>
      <c r="B48" s="74" t="s">
        <v>2582</v>
      </c>
      <c r="C48" s="71">
        <f t="shared" si="0"/>
        <v>1</v>
      </c>
      <c r="D48" s="68" cm="1">
        <f t="array" ref="D48">SUMPRODUCT(--(ISNUMBER(SEARCH($B48,'4 Included'!$P$2:$P$52))))</f>
        <v>1</v>
      </c>
    </row>
    <row r="49" spans="1:4" x14ac:dyDescent="0.25">
      <c r="A49" s="75" t="s">
        <v>2583</v>
      </c>
      <c r="B49" s="74" t="s">
        <v>2583</v>
      </c>
      <c r="C49" s="71">
        <f t="shared" si="0"/>
        <v>2</v>
      </c>
      <c r="D49" s="68" cm="1">
        <f t="array" ref="D49">SUMPRODUCT(--(ISNUMBER(SEARCH($B49,'4 Included'!$P$2:$P$52))))</f>
        <v>2</v>
      </c>
    </row>
    <row r="50" spans="1:4" x14ac:dyDescent="0.25">
      <c r="A50" s="75" t="s">
        <v>2584</v>
      </c>
      <c r="B50" s="74" t="s">
        <v>2584</v>
      </c>
      <c r="C50" s="71">
        <f t="shared" si="0"/>
        <v>1</v>
      </c>
      <c r="D50" s="68" cm="1">
        <f t="array" ref="D50">SUMPRODUCT(--(ISNUMBER(SEARCH($B50,'4 Included'!$P$2:$P$52))))</f>
        <v>1</v>
      </c>
    </row>
    <row r="51" spans="1:4" x14ac:dyDescent="0.25">
      <c r="A51" s="77"/>
      <c r="B51" s="76" t="s">
        <v>2376</v>
      </c>
      <c r="C51" s="69">
        <f>SUBTOTAL(109,Techniques!$C$2:$C$50)</f>
        <v>120</v>
      </c>
      <c r="D51" s="70">
        <f>SUBTOTAL(109,Techniques!$D$2:$D$50)</f>
        <v>120</v>
      </c>
    </row>
  </sheetData>
  <mergeCells count="12">
    <mergeCell ref="A29:A31"/>
    <mergeCell ref="C29:C31"/>
    <mergeCell ref="A35:A41"/>
    <mergeCell ref="C35:C41"/>
    <mergeCell ref="A44:A46"/>
    <mergeCell ref="C44:C46"/>
    <mergeCell ref="A6:A9"/>
    <mergeCell ref="C6:C9"/>
    <mergeCell ref="A13:A18"/>
    <mergeCell ref="C13:C18"/>
    <mergeCell ref="A24:A26"/>
    <mergeCell ref="C24:C26"/>
  </mergeCells>
  <pageMargins left="0.7" right="0.7" top="0.75" bottom="0.75" header="0.3" footer="0.3"/>
  <pageSetup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FB51E-8E95-4B0D-BF91-D2B85124BC27}">
  <sheetPr>
    <tabColor theme="9"/>
  </sheetPr>
  <dimension ref="A1:B21"/>
  <sheetViews>
    <sheetView zoomScaleNormal="100" workbookViewId="0">
      <selection activeCell="B26" sqref="B26"/>
    </sheetView>
  </sheetViews>
  <sheetFormatPr defaultRowHeight="15.75" x14ac:dyDescent="0.25"/>
  <cols>
    <col min="1" max="1" width="44.28515625" style="48" customWidth="1"/>
    <col min="2" max="2" width="57.5703125" style="49" customWidth="1"/>
  </cols>
  <sheetData>
    <row r="1" spans="1:2" x14ac:dyDescent="0.25">
      <c r="A1" s="44" t="s">
        <v>2412</v>
      </c>
      <c r="B1" s="45" t="s">
        <v>2384</v>
      </c>
    </row>
    <row r="2" spans="1:2" x14ac:dyDescent="0.25">
      <c r="A2" s="46" t="s">
        <v>2462</v>
      </c>
      <c r="B2" s="47" cm="1">
        <f t="array" ref="B2">SUMPRODUCT(--(ISNUMBER(SEARCH($A2,'4 Included'!$Q$2:$Q$52))))</f>
        <v>38</v>
      </c>
    </row>
    <row r="3" spans="1:2" x14ac:dyDescent="0.25">
      <c r="A3" s="46" t="s">
        <v>2470</v>
      </c>
      <c r="B3" s="47" cm="1">
        <f t="array" ref="B3">SUMPRODUCT(--(ISNUMBER(SEARCH($A3,'4 Included'!$Q$2:$Q$52))))</f>
        <v>9</v>
      </c>
    </row>
    <row r="4" spans="1:2" x14ac:dyDescent="0.25">
      <c r="A4" s="46" t="s">
        <v>2464</v>
      </c>
      <c r="B4" s="47" cm="1">
        <f t="array" ref="B4">SUMPRODUCT(--(ISNUMBER(SEARCH($A4,'4 Included'!$Q$2:$Q$52))))</f>
        <v>3</v>
      </c>
    </row>
    <row r="5" spans="1:2" s="52" customFormat="1" x14ac:dyDescent="0.25">
      <c r="A5" s="82" t="s">
        <v>2485</v>
      </c>
      <c r="B5" s="83" cm="1">
        <f t="array" ref="B5">SUMPRODUCT(--(ISNUMBER(SEARCH($A5,'4 Included'!$Q$2:$Q$52))))</f>
        <v>3</v>
      </c>
    </row>
    <row r="6" spans="1:2" x14ac:dyDescent="0.25">
      <c r="A6" s="46" t="s">
        <v>2480</v>
      </c>
      <c r="B6" s="47" cm="1">
        <f t="array" ref="B6">SUMPRODUCT(--(ISNUMBER(SEARCH($A6,'4 Included'!$Q$2:$Q$52))))</f>
        <v>1</v>
      </c>
    </row>
    <row r="7" spans="1:2" x14ac:dyDescent="0.25">
      <c r="A7" s="46" t="s">
        <v>2481</v>
      </c>
      <c r="B7" s="47" cm="1">
        <f t="array" ref="B7">SUMPRODUCT(--(ISNUMBER(SEARCH($A7,'4 Included'!$Q$2:$Q$52))))</f>
        <v>1</v>
      </c>
    </row>
    <row r="8" spans="1:2" s="52" customFormat="1" x14ac:dyDescent="0.25">
      <c r="A8" s="82" t="s">
        <v>2482</v>
      </c>
      <c r="B8" s="83" cm="1">
        <f t="array" ref="B8">SUMPRODUCT(--(ISNUMBER(SEARCH($A8,'4 Included'!$Q$2:$Q$52))))</f>
        <v>1</v>
      </c>
    </row>
    <row r="9" spans="1:2" x14ac:dyDescent="0.25">
      <c r="A9" s="46" t="s">
        <v>2483</v>
      </c>
      <c r="B9" s="47" cm="1">
        <f t="array" ref="B9">SUMPRODUCT(--(ISNUMBER(SEARCH($A9,'4 Included'!$Q$2:$Q$52))))</f>
        <v>1</v>
      </c>
    </row>
    <row r="10" spans="1:2" s="52" customFormat="1" x14ac:dyDescent="0.25">
      <c r="A10" s="82" t="s">
        <v>2484</v>
      </c>
      <c r="B10" s="83" cm="1">
        <f t="array" ref="B10">SUMPRODUCT(--(ISNUMBER(SEARCH($A10,'4 Included'!$Q$2:$Q$52))))</f>
        <v>1</v>
      </c>
    </row>
    <row r="11" spans="1:2" x14ac:dyDescent="0.25">
      <c r="A11" s="46" t="s">
        <v>2474</v>
      </c>
      <c r="B11" s="47" cm="1">
        <f t="array" ref="B11">SUMPRODUCT(--(ISNUMBER(SEARCH($A11,'4 Included'!$Q$2:$Q$52))))</f>
        <v>1</v>
      </c>
    </row>
    <row r="12" spans="1:2" x14ac:dyDescent="0.25">
      <c r="A12" s="46" t="s">
        <v>2475</v>
      </c>
      <c r="B12" s="47" cm="1">
        <f t="array" ref="B12">SUMPRODUCT(--(ISNUMBER(SEARCH($A12,'4 Included'!$Q$2:$Q$52))))</f>
        <v>1</v>
      </c>
    </row>
    <row r="13" spans="1:2" s="52" customFormat="1" x14ac:dyDescent="0.25">
      <c r="A13" s="82" t="s">
        <v>2486</v>
      </c>
      <c r="B13" s="83" cm="1">
        <f t="array" ref="B13">SUMPRODUCT(--(ISNUMBER(SEARCH($A13,'4 Included'!$Q$2:$Q$52))))</f>
        <v>1</v>
      </c>
    </row>
    <row r="14" spans="1:2" x14ac:dyDescent="0.25">
      <c r="A14" s="46" t="s">
        <v>2477</v>
      </c>
      <c r="B14" s="47" cm="1">
        <f t="array" ref="B14">SUMPRODUCT(--(ISNUMBER(SEARCH($A14,'4 Included'!$Q$2:$Q$52))))</f>
        <v>1</v>
      </c>
    </row>
    <row r="15" spans="1:2" x14ac:dyDescent="0.25">
      <c r="A15" s="46" t="s">
        <v>2487</v>
      </c>
      <c r="B15" s="47" cm="1">
        <f t="array" ref="B15">SUMPRODUCT(--(ISNUMBER(SEARCH($A15,'4 Included'!$Q$2:$Q$52))))</f>
        <v>1</v>
      </c>
    </row>
    <row r="16" spans="1:2" s="52" customFormat="1" x14ac:dyDescent="0.25">
      <c r="A16" s="82" t="s">
        <v>2488</v>
      </c>
      <c r="B16" s="83" cm="1">
        <f t="array" ref="B16">SUMPRODUCT(--(ISNUMBER(SEARCH($A16,'4 Included'!$Q$2:$Q$52))))</f>
        <v>1</v>
      </c>
    </row>
    <row r="17" spans="1:2" s="52" customFormat="1" x14ac:dyDescent="0.25">
      <c r="A17" s="82" t="s">
        <v>2489</v>
      </c>
      <c r="B17" s="83" cm="1">
        <f t="array" ref="B17">SUMPRODUCT(--(ISNUMBER(SEARCH($A17,'4 Included'!$Q$2:$Q$52))))</f>
        <v>1</v>
      </c>
    </row>
    <row r="18" spans="1:2" s="52" customFormat="1" x14ac:dyDescent="0.25">
      <c r="A18" s="82" t="s">
        <v>2479</v>
      </c>
      <c r="B18" s="83" cm="1">
        <f t="array" ref="B18">SUMPRODUCT(--(ISNUMBER(SEARCH($A18,'4 Included'!$Q$2:$Q$52))))</f>
        <v>1</v>
      </c>
    </row>
    <row r="19" spans="1:2" s="52" customFormat="1" x14ac:dyDescent="0.25">
      <c r="A19" s="82" t="s">
        <v>2490</v>
      </c>
      <c r="B19" s="83" cm="1">
        <f t="array" ref="B19">SUMPRODUCT(--(ISNUMBER(SEARCH($A19,'4 Included'!$Q$2:$Q$52))))</f>
        <v>1</v>
      </c>
    </row>
    <row r="20" spans="1:2" s="52" customFormat="1" x14ac:dyDescent="0.25">
      <c r="A20" s="82" t="s">
        <v>2491</v>
      </c>
      <c r="B20" s="83" cm="1">
        <f t="array" ref="B20">SUMPRODUCT(--(ISNUMBER(SEARCH($A20,'4 Included'!$Q$2:$Q$52))))</f>
        <v>1</v>
      </c>
    </row>
    <row r="21" spans="1:2" s="52" customFormat="1" x14ac:dyDescent="0.25">
      <c r="A21" s="84" t="s">
        <v>2478</v>
      </c>
      <c r="B21" s="83" cm="1">
        <f t="array" ref="B21">SUMPRODUCT(--(ISNUMBER(SEARCH($A21,'4 Included'!$Q$2:$Q$52))))</f>
        <v>1</v>
      </c>
    </row>
  </sheetData>
  <pageMargins left="0.7" right="0.7" top="0.75" bottom="0.75" header="0.3" footer="0.3"/>
  <pageSetup orientation="portrait" verticalDpi="300"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834F-DC82-49D0-9E80-0DA1084DF2FB}">
  <sheetPr>
    <tabColor theme="9"/>
  </sheetPr>
  <dimension ref="A1:B23"/>
  <sheetViews>
    <sheetView zoomScaleNormal="100" workbookViewId="0">
      <selection activeCell="A2" sqref="A2:B11"/>
    </sheetView>
  </sheetViews>
  <sheetFormatPr defaultRowHeight="15.75" x14ac:dyDescent="0.25"/>
  <cols>
    <col min="1" max="1" width="44.28515625" style="48" customWidth="1"/>
    <col min="2" max="2" width="57.5703125" style="49" customWidth="1"/>
  </cols>
  <sheetData>
    <row r="1" spans="1:2" x14ac:dyDescent="0.25">
      <c r="A1" s="44" t="s">
        <v>2412</v>
      </c>
      <c r="B1" s="45" t="s">
        <v>2384</v>
      </c>
    </row>
    <row r="2" spans="1:2" x14ac:dyDescent="0.25">
      <c r="A2" s="46" t="s">
        <v>73</v>
      </c>
      <c r="B2" s="47" cm="1">
        <f t="array" ref="B2">SUMPRODUCT(--(ISNUMBER(SEARCH($A2,'4 Included'!$R$2:$R$52))))</f>
        <v>42</v>
      </c>
    </row>
    <row r="3" spans="1:2" x14ac:dyDescent="0.25">
      <c r="A3" s="46" t="s">
        <v>2413</v>
      </c>
      <c r="B3" s="47" cm="1">
        <f t="array" ref="B3">SUMPRODUCT(--(ISNUMBER(SEARCH($A3,'4 Included'!$R$2:$R$52))))</f>
        <v>18</v>
      </c>
    </row>
    <row r="4" spans="1:2" x14ac:dyDescent="0.25">
      <c r="A4" s="46" t="s">
        <v>2414</v>
      </c>
      <c r="B4" s="47" cm="1">
        <f t="array" ref="B4">SUMPRODUCT(--(ISNUMBER(SEARCH($A4,'4 Included'!$R$2:$R$52))))</f>
        <v>17</v>
      </c>
    </row>
    <row r="5" spans="1:2" x14ac:dyDescent="0.25">
      <c r="A5" s="46" t="s">
        <v>2415</v>
      </c>
      <c r="B5" s="47" cm="1">
        <f t="array" ref="B5">SUMPRODUCT(--(ISNUMBER(SEARCH($A5,'4 Included'!$R$2:$R$52))))</f>
        <v>14</v>
      </c>
    </row>
    <row r="6" spans="1:2" x14ac:dyDescent="0.25">
      <c r="A6" s="46" t="s">
        <v>2417</v>
      </c>
      <c r="B6" s="47" cm="1">
        <f t="array" ref="B6">SUMPRODUCT(--(ISNUMBER(SEARCH($A6,'4 Included'!$R$2:$R$52))))</f>
        <v>11</v>
      </c>
    </row>
    <row r="7" spans="1:2" x14ac:dyDescent="0.25">
      <c r="A7" s="46" t="s">
        <v>2416</v>
      </c>
      <c r="B7" s="47" cm="1">
        <f t="array" ref="B7">SUMPRODUCT(--(ISNUMBER(SEARCH($A7,'4 Included'!$R$2:$R$52))))</f>
        <v>9</v>
      </c>
    </row>
    <row r="8" spans="1:2" x14ac:dyDescent="0.25">
      <c r="A8" s="46" t="s">
        <v>2418</v>
      </c>
      <c r="B8" s="47" cm="1">
        <f t="array" ref="B8">SUMPRODUCT(--(ISNUMBER(SEARCH($A8,'4 Included'!$R$2:$R$52))))</f>
        <v>8</v>
      </c>
    </row>
    <row r="9" spans="1:2" x14ac:dyDescent="0.25">
      <c r="A9" s="46" t="s">
        <v>2419</v>
      </c>
      <c r="B9" s="47" cm="1">
        <f t="array" ref="B9">SUMPRODUCT(--(ISNUMBER(SEARCH($A9,'4 Included'!$R$2:$R$52))))</f>
        <v>5</v>
      </c>
    </row>
    <row r="10" spans="1:2" x14ac:dyDescent="0.25">
      <c r="A10" s="46" t="s">
        <v>2448</v>
      </c>
      <c r="B10" s="47" cm="1">
        <f t="array" ref="B10">SUMPRODUCT(--(ISNUMBER(SEARCH($A10,'4 Included'!$R$2:$R$52))))</f>
        <v>4</v>
      </c>
    </row>
    <row r="11" spans="1:2" x14ac:dyDescent="0.25">
      <c r="A11" s="46" t="s">
        <v>2438</v>
      </c>
      <c r="B11" s="47" cm="1">
        <f t="array" ref="B11">SUMPRODUCT(--(ISNUMBER(SEARCH($A11,'4 Included'!$R$2:$R$52))))</f>
        <v>3</v>
      </c>
    </row>
    <row r="12" spans="1:2" x14ac:dyDescent="0.25">
      <c r="A12" s="46" t="s">
        <v>2420</v>
      </c>
      <c r="B12" s="47" cm="1">
        <f t="array" ref="B12">SUMPRODUCT(--(ISNUMBER(SEARCH($A12,'4 Included'!$R$2:$R$52))))</f>
        <v>2</v>
      </c>
    </row>
    <row r="13" spans="1:2" x14ac:dyDescent="0.25">
      <c r="A13" s="46" t="s">
        <v>2444</v>
      </c>
      <c r="B13" s="47" cm="1">
        <f t="array" ref="B13">SUMPRODUCT(--(ISNUMBER(SEARCH($A13,'4 Included'!$R$2:$R$52))))</f>
        <v>1</v>
      </c>
    </row>
    <row r="14" spans="1:2" x14ac:dyDescent="0.25">
      <c r="A14" s="46" t="s">
        <v>2439</v>
      </c>
      <c r="B14" s="47" cm="1">
        <f t="array" ref="B14">SUMPRODUCT(--(ISNUMBER(SEARCH($A14,'4 Included'!$R$2:$R$52))))</f>
        <v>1</v>
      </c>
    </row>
    <row r="15" spans="1:2" x14ac:dyDescent="0.25">
      <c r="A15" s="46" t="s">
        <v>2546</v>
      </c>
      <c r="B15" s="47" cm="1">
        <f t="array" ref="B15">SUMPRODUCT(--(ISNUMBER(SEARCH($A15,'4 Included'!$R$2:$R$52))))</f>
        <v>1</v>
      </c>
    </row>
    <row r="16" spans="1:2" x14ac:dyDescent="0.25">
      <c r="A16" s="46" t="s">
        <v>2534</v>
      </c>
      <c r="B16" s="47" cm="1">
        <f t="array" ref="B16">SUMPRODUCT(--(ISNUMBER(SEARCH($A16,'4 Included'!$R$2:$R$52))))</f>
        <v>1</v>
      </c>
    </row>
    <row r="17" spans="1:2" x14ac:dyDescent="0.25">
      <c r="A17" s="46" t="s">
        <v>2446</v>
      </c>
      <c r="B17" s="47" cm="1">
        <f t="array" ref="B17">SUMPRODUCT(--(ISNUMBER(SEARCH($A17,'4 Included'!$R$2:$R$52))))</f>
        <v>1</v>
      </c>
    </row>
    <row r="18" spans="1:2" x14ac:dyDescent="0.25">
      <c r="A18" s="46" t="s">
        <v>2437</v>
      </c>
      <c r="B18" s="47" cm="1">
        <f t="array" ref="B18">SUMPRODUCT(--(ISNUMBER(SEARCH($A18,'4 Included'!$R$2:$R$52))))</f>
        <v>1</v>
      </c>
    </row>
    <row r="19" spans="1:2" x14ac:dyDescent="0.25">
      <c r="A19" s="46" t="s">
        <v>2440</v>
      </c>
      <c r="B19" s="47" cm="1">
        <f t="array" ref="B19">SUMPRODUCT(--(ISNUMBER(SEARCH($A19,'4 Included'!$R$2:$R$52))))</f>
        <v>1</v>
      </c>
    </row>
    <row r="20" spans="1:2" x14ac:dyDescent="0.25">
      <c r="A20" s="46" t="s">
        <v>2441</v>
      </c>
      <c r="B20" s="47" cm="1">
        <f t="array" ref="B20">SUMPRODUCT(--(ISNUMBER(SEARCH($A20,'4 Included'!$R$2:$R$52))))</f>
        <v>1</v>
      </c>
    </row>
    <row r="21" spans="1:2" x14ac:dyDescent="0.25">
      <c r="A21" s="46" t="s">
        <v>2442</v>
      </c>
      <c r="B21" s="47" cm="1">
        <f t="array" ref="B21">SUMPRODUCT(--(ISNUMBER(SEARCH($A21,'4 Included'!$R$2:$R$52))))</f>
        <v>1</v>
      </c>
    </row>
    <row r="22" spans="1:2" x14ac:dyDescent="0.25">
      <c r="A22" s="51" t="s">
        <v>2445</v>
      </c>
      <c r="B22" s="47" cm="1">
        <f t="array" ref="B22">SUMPRODUCT(--(ISNUMBER(SEARCH($A22,'4 Included'!$R$2:$R$52))))</f>
        <v>1</v>
      </c>
    </row>
    <row r="23" spans="1:2" x14ac:dyDescent="0.25">
      <c r="A23" s="51" t="s">
        <v>2443</v>
      </c>
      <c r="B23" s="47" cm="1">
        <f t="array" ref="B23">SUMPRODUCT(--(ISNUMBER(SEARCH($A23,'4 Included'!$R$2:$R$52))))</f>
        <v>1</v>
      </c>
    </row>
  </sheetData>
  <pageMargins left="0.7" right="0.7" top="0.75" bottom="0.75" header="0.3" footer="0.3"/>
  <pageSetup orientation="portrait" verticalDpi="300"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7884-3109-43AA-BBD3-EFFF7F5CA847}">
  <sheetPr>
    <tabColor rgb="FF0070C0"/>
  </sheetPr>
  <dimension ref="A1:S64"/>
  <sheetViews>
    <sheetView zoomScaleNormal="100" workbookViewId="0">
      <selection activeCell="E4" sqref="E4"/>
    </sheetView>
  </sheetViews>
  <sheetFormatPr defaultRowHeight="15" customHeight="1" x14ac:dyDescent="0.25"/>
  <cols>
    <col min="1" max="1" width="14.28515625" customWidth="1"/>
    <col min="3" max="3" width="10.140625" customWidth="1"/>
    <col min="4" max="4" width="25.42578125" customWidth="1"/>
    <col min="5" max="5" width="24" customWidth="1"/>
    <col min="6" max="6" width="77.28515625" customWidth="1"/>
    <col min="7" max="7" width="32.42578125" customWidth="1"/>
    <col min="8" max="8" width="11.140625" customWidth="1"/>
    <col min="9" max="9" width="87.5703125" customWidth="1"/>
    <col min="10" max="10" width="17" customWidth="1"/>
    <col min="11" max="11" width="18.28515625" customWidth="1"/>
    <col min="13" max="13" width="12.85546875" customWidth="1"/>
    <col min="14" max="14" width="27.42578125" customWidth="1"/>
    <col min="15" max="15" width="28.7109375" style="3" customWidth="1"/>
    <col min="16" max="16" width="30" customWidth="1"/>
    <col min="17" max="17" width="23.85546875" customWidth="1"/>
    <col min="18" max="18" width="38.42578125" style="1" customWidth="1"/>
    <col min="19" max="19" width="50" customWidth="1"/>
    <col min="20" max="20" width="52.5703125" customWidth="1"/>
    <col min="21" max="21" width="67.7109375" customWidth="1"/>
    <col min="22" max="22" width="44.140625" customWidth="1"/>
  </cols>
  <sheetData>
    <row r="1" spans="1:19" s="81" customFormat="1" ht="30.75" customHeight="1" x14ac:dyDescent="0.25">
      <c r="A1" s="81" t="s">
        <v>9</v>
      </c>
      <c r="B1" s="81" t="s">
        <v>1</v>
      </c>
      <c r="C1" s="81" t="s">
        <v>2</v>
      </c>
      <c r="D1" s="81" t="s">
        <v>0</v>
      </c>
      <c r="E1" s="81" t="s">
        <v>365</v>
      </c>
      <c r="F1" s="81" t="s">
        <v>2601</v>
      </c>
      <c r="G1" s="81" t="s">
        <v>8</v>
      </c>
      <c r="H1" s="81" t="s">
        <v>4</v>
      </c>
      <c r="I1" s="81" t="s">
        <v>5</v>
      </c>
      <c r="J1" s="81" t="s">
        <v>6</v>
      </c>
      <c r="K1" s="81" t="s">
        <v>7</v>
      </c>
      <c r="L1" s="81" t="s">
        <v>10</v>
      </c>
      <c r="M1" s="81" t="s">
        <v>3</v>
      </c>
      <c r="N1" s="81" t="s">
        <v>11</v>
      </c>
      <c r="O1" s="81" t="s">
        <v>12</v>
      </c>
      <c r="P1" s="81" t="s">
        <v>2529</v>
      </c>
      <c r="Q1" s="81" t="s">
        <v>2388</v>
      </c>
      <c r="R1" s="81" t="s">
        <v>13</v>
      </c>
    </row>
    <row r="2" spans="1:19" ht="15" customHeight="1" x14ac:dyDescent="0.25">
      <c r="A2" t="s">
        <v>40</v>
      </c>
      <c r="B2" t="s">
        <v>182</v>
      </c>
      <c r="C2" s="3">
        <v>2022</v>
      </c>
      <c r="D2" t="s">
        <v>34</v>
      </c>
      <c r="E2" t="s">
        <v>502</v>
      </c>
      <c r="F2" t="s">
        <v>2607</v>
      </c>
      <c r="G2" s="18" t="s">
        <v>186</v>
      </c>
      <c r="H2" t="s">
        <v>29</v>
      </c>
      <c r="I2" t="s">
        <v>183</v>
      </c>
      <c r="J2" t="s">
        <v>185</v>
      </c>
      <c r="K2" t="s">
        <v>29</v>
      </c>
      <c r="L2" s="56"/>
      <c r="M2" t="s">
        <v>183</v>
      </c>
      <c r="N2" t="s">
        <v>2538</v>
      </c>
      <c r="O2" s="59" t="s">
        <v>145</v>
      </c>
      <c r="P2" t="s">
        <v>2539</v>
      </c>
      <c r="Q2" t="s">
        <v>2462</v>
      </c>
      <c r="R2" t="s">
        <v>2545</v>
      </c>
      <c r="S2" t="s">
        <v>24</v>
      </c>
    </row>
    <row r="3" spans="1:19" ht="15" customHeight="1" x14ac:dyDescent="0.25">
      <c r="A3" t="s">
        <v>425</v>
      </c>
      <c r="B3" t="s">
        <v>323</v>
      </c>
      <c r="C3" s="3">
        <v>2020</v>
      </c>
      <c r="D3" t="s">
        <v>34</v>
      </c>
      <c r="E3" t="s">
        <v>2602</v>
      </c>
      <c r="F3" t="s">
        <v>2605</v>
      </c>
      <c r="G3" s="18" t="s">
        <v>329</v>
      </c>
      <c r="H3" t="s">
        <v>326</v>
      </c>
      <c r="I3" t="s">
        <v>324</v>
      </c>
      <c r="J3" t="s">
        <v>327</v>
      </c>
      <c r="K3" t="s">
        <v>328</v>
      </c>
      <c r="M3" t="s">
        <v>324</v>
      </c>
      <c r="N3" t="s">
        <v>330</v>
      </c>
      <c r="O3" s="57" t="s">
        <v>331</v>
      </c>
      <c r="P3" t="s">
        <v>2501</v>
      </c>
      <c r="Q3" s="1" t="s">
        <v>2462</v>
      </c>
      <c r="R3" t="s">
        <v>73</v>
      </c>
    </row>
    <row r="4" spans="1:19" ht="15" customHeight="1" x14ac:dyDescent="0.25">
      <c r="A4" t="s">
        <v>40</v>
      </c>
      <c r="B4" t="s">
        <v>312</v>
      </c>
      <c r="C4" s="3">
        <v>2020</v>
      </c>
      <c r="D4" t="s">
        <v>34</v>
      </c>
      <c r="E4" t="s">
        <v>2602</v>
      </c>
      <c r="F4" t="s">
        <v>796</v>
      </c>
      <c r="G4" s="18" t="s">
        <v>316</v>
      </c>
      <c r="H4" t="s">
        <v>29</v>
      </c>
      <c r="I4" t="s">
        <v>313</v>
      </c>
      <c r="J4" t="s">
        <v>315</v>
      </c>
      <c r="K4" t="s">
        <v>29</v>
      </c>
      <c r="M4" t="s">
        <v>313</v>
      </c>
      <c r="N4" t="s">
        <v>317</v>
      </c>
      <c r="O4" s="57" t="s">
        <v>2409</v>
      </c>
      <c r="P4" t="s">
        <v>2493</v>
      </c>
      <c r="Q4" s="1" t="s">
        <v>2462</v>
      </c>
      <c r="R4" t="s">
        <v>73</v>
      </c>
    </row>
    <row r="5" spans="1:19" ht="15" customHeight="1" x14ac:dyDescent="0.25">
      <c r="A5" t="s">
        <v>40</v>
      </c>
      <c r="B5" t="s">
        <v>86</v>
      </c>
      <c r="C5" s="3">
        <v>2020</v>
      </c>
      <c r="D5" t="s">
        <v>34</v>
      </c>
      <c r="E5" t="s">
        <v>2602</v>
      </c>
      <c r="F5" t="s">
        <v>88</v>
      </c>
      <c r="G5" s="18" t="s">
        <v>90</v>
      </c>
      <c r="H5" t="s">
        <v>29</v>
      </c>
      <c r="I5" t="s">
        <v>2455</v>
      </c>
      <c r="J5" t="s">
        <v>89</v>
      </c>
      <c r="K5" t="s">
        <v>29</v>
      </c>
      <c r="M5" t="s">
        <v>2455</v>
      </c>
      <c r="N5" t="s">
        <v>2600</v>
      </c>
      <c r="O5" s="59" t="s">
        <v>145</v>
      </c>
      <c r="P5" t="s">
        <v>2509</v>
      </c>
      <c r="Q5" s="1" t="s">
        <v>2462</v>
      </c>
      <c r="R5" t="s">
        <v>91</v>
      </c>
      <c r="S5" t="s">
        <v>24</v>
      </c>
    </row>
    <row r="6" spans="1:19" ht="15" customHeight="1" x14ac:dyDescent="0.25">
      <c r="A6" t="s">
        <v>40</v>
      </c>
      <c r="B6" t="s">
        <v>162</v>
      </c>
      <c r="C6" s="3">
        <v>2021</v>
      </c>
      <c r="D6" t="s">
        <v>34</v>
      </c>
      <c r="E6" t="s">
        <v>2602</v>
      </c>
      <c r="F6" t="s">
        <v>164</v>
      </c>
      <c r="G6" s="18" t="s">
        <v>166</v>
      </c>
      <c r="H6" t="s">
        <v>29</v>
      </c>
      <c r="I6" t="s">
        <v>2460</v>
      </c>
      <c r="J6" t="s">
        <v>165</v>
      </c>
      <c r="K6" t="s">
        <v>29</v>
      </c>
      <c r="M6" t="s">
        <v>2460</v>
      </c>
      <c r="N6" t="s">
        <v>112</v>
      </c>
      <c r="O6" s="59" t="s">
        <v>113</v>
      </c>
      <c r="P6" t="s">
        <v>2499</v>
      </c>
      <c r="Q6" s="1" t="s">
        <v>2474</v>
      </c>
      <c r="R6" t="s">
        <v>2423</v>
      </c>
    </row>
    <row r="7" spans="1:19" ht="15" customHeight="1" x14ac:dyDescent="0.25">
      <c r="A7" t="s">
        <v>378</v>
      </c>
      <c r="B7" t="s">
        <v>243</v>
      </c>
      <c r="C7" s="3">
        <v>2021</v>
      </c>
      <c r="D7" t="s">
        <v>34</v>
      </c>
      <c r="E7" t="s">
        <v>2602</v>
      </c>
      <c r="F7" t="s">
        <v>245</v>
      </c>
      <c r="G7" s="18" t="s">
        <v>248</v>
      </c>
      <c r="H7" t="s">
        <v>246</v>
      </c>
      <c r="I7" t="s">
        <v>244</v>
      </c>
      <c r="J7" t="s">
        <v>247</v>
      </c>
      <c r="K7" t="s">
        <v>29</v>
      </c>
      <c r="M7" t="s">
        <v>244</v>
      </c>
      <c r="N7" t="s">
        <v>249</v>
      </c>
      <c r="O7" s="60" t="s">
        <v>250</v>
      </c>
      <c r="P7" t="s">
        <v>2502</v>
      </c>
      <c r="Q7" s="1" t="s">
        <v>2462</v>
      </c>
      <c r="R7" t="s">
        <v>2434</v>
      </c>
    </row>
    <row r="8" spans="1:19" ht="15" customHeight="1" x14ac:dyDescent="0.25">
      <c r="A8" t="s">
        <v>40</v>
      </c>
      <c r="B8" t="s">
        <v>236</v>
      </c>
      <c r="C8" s="3">
        <v>2021</v>
      </c>
      <c r="D8" t="s">
        <v>34</v>
      </c>
      <c r="E8" t="s">
        <v>2602</v>
      </c>
      <c r="F8" t="s">
        <v>759</v>
      </c>
      <c r="G8" s="18" t="s">
        <v>240</v>
      </c>
      <c r="H8" t="s">
        <v>29</v>
      </c>
      <c r="I8" t="s">
        <v>2456</v>
      </c>
      <c r="J8" t="s">
        <v>239</v>
      </c>
      <c r="K8" t="s">
        <v>29</v>
      </c>
      <c r="M8" t="s">
        <v>2456</v>
      </c>
      <c r="N8" t="s">
        <v>241</v>
      </c>
      <c r="O8" s="57" t="s">
        <v>242</v>
      </c>
      <c r="P8" t="s">
        <v>2519</v>
      </c>
      <c r="Q8" s="1" t="s">
        <v>2462</v>
      </c>
      <c r="R8" t="s">
        <v>2445</v>
      </c>
    </row>
    <row r="9" spans="1:19" ht="15" customHeight="1" x14ac:dyDescent="0.25">
      <c r="A9" t="s">
        <v>40</v>
      </c>
      <c r="B9" t="s">
        <v>51</v>
      </c>
      <c r="C9" s="3">
        <v>2022</v>
      </c>
      <c r="D9" t="s">
        <v>34</v>
      </c>
      <c r="E9" t="s">
        <v>2602</v>
      </c>
      <c r="F9" t="s">
        <v>557</v>
      </c>
      <c r="G9" s="18" t="s">
        <v>55</v>
      </c>
      <c r="H9" t="s">
        <v>29</v>
      </c>
      <c r="I9" t="s">
        <v>52</v>
      </c>
      <c r="J9" t="s">
        <v>54</v>
      </c>
      <c r="K9" t="s">
        <v>29</v>
      </c>
      <c r="M9" t="s">
        <v>52</v>
      </c>
      <c r="N9" t="s">
        <v>56</v>
      </c>
      <c r="O9" s="58" t="s">
        <v>57</v>
      </c>
      <c r="P9" t="s">
        <v>2494</v>
      </c>
      <c r="Q9" s="1" t="s">
        <v>2462</v>
      </c>
      <c r="R9" t="s">
        <v>58</v>
      </c>
    </row>
    <row r="10" spans="1:19" ht="15" customHeight="1" x14ac:dyDescent="0.25">
      <c r="A10" t="s">
        <v>378</v>
      </c>
      <c r="B10" t="s">
        <v>174</v>
      </c>
      <c r="C10" s="3">
        <v>2022</v>
      </c>
      <c r="D10" t="s">
        <v>34</v>
      </c>
      <c r="E10" t="s">
        <v>2602</v>
      </c>
      <c r="F10" t="s">
        <v>176</v>
      </c>
      <c r="G10" s="18" t="s">
        <v>179</v>
      </c>
      <c r="H10" t="s">
        <v>177</v>
      </c>
      <c r="I10" t="s">
        <v>175</v>
      </c>
      <c r="J10" t="s">
        <v>178</v>
      </c>
      <c r="K10" t="s">
        <v>29</v>
      </c>
      <c r="M10" t="s">
        <v>175</v>
      </c>
      <c r="N10" t="s">
        <v>180</v>
      </c>
      <c r="O10" s="57" t="s">
        <v>181</v>
      </c>
      <c r="P10" t="s">
        <v>2526</v>
      </c>
      <c r="Q10" s="1" t="s">
        <v>2462</v>
      </c>
      <c r="R10" t="s">
        <v>73</v>
      </c>
      <c r="S10" t="s">
        <v>24</v>
      </c>
    </row>
    <row r="11" spans="1:19" ht="15" customHeight="1" x14ac:dyDescent="0.25">
      <c r="A11" t="s">
        <v>378</v>
      </c>
      <c r="B11" t="s">
        <v>192</v>
      </c>
      <c r="C11" s="3">
        <v>2022</v>
      </c>
      <c r="D11" t="s">
        <v>34</v>
      </c>
      <c r="E11" t="s">
        <v>2602</v>
      </c>
      <c r="F11" t="s">
        <v>194</v>
      </c>
      <c r="G11" s="18" t="s">
        <v>197</v>
      </c>
      <c r="H11" t="s">
        <v>195</v>
      </c>
      <c r="I11" t="s">
        <v>193</v>
      </c>
      <c r="J11" t="s">
        <v>196</v>
      </c>
      <c r="K11" t="s">
        <v>29</v>
      </c>
      <c r="M11" t="s">
        <v>193</v>
      </c>
      <c r="N11" t="s">
        <v>198</v>
      </c>
      <c r="O11" s="57" t="s">
        <v>199</v>
      </c>
      <c r="P11" t="s">
        <v>2520</v>
      </c>
      <c r="Q11" s="1" t="s">
        <v>2462</v>
      </c>
      <c r="R11" t="s">
        <v>2436</v>
      </c>
    </row>
    <row r="12" spans="1:19" ht="15" customHeight="1" x14ac:dyDescent="0.25">
      <c r="A12" t="s">
        <v>40</v>
      </c>
      <c r="B12" t="s">
        <v>187</v>
      </c>
      <c r="C12" s="3">
        <v>2023</v>
      </c>
      <c r="D12" t="s">
        <v>34</v>
      </c>
      <c r="E12" t="s">
        <v>2602</v>
      </c>
      <c r="F12" t="s">
        <v>543</v>
      </c>
      <c r="G12" s="18" t="s">
        <v>191</v>
      </c>
      <c r="H12" t="s">
        <v>29</v>
      </c>
      <c r="I12" t="s">
        <v>188</v>
      </c>
      <c r="J12" t="s">
        <v>190</v>
      </c>
      <c r="K12" t="s">
        <v>29</v>
      </c>
      <c r="M12" t="s">
        <v>188</v>
      </c>
      <c r="N12" t="s">
        <v>2597</v>
      </c>
      <c r="O12" s="59" t="s">
        <v>145</v>
      </c>
      <c r="P12" t="s">
        <v>2496</v>
      </c>
      <c r="Q12" s="1" t="s">
        <v>2467</v>
      </c>
      <c r="R12" t="s">
        <v>2449</v>
      </c>
    </row>
    <row r="13" spans="1:19" ht="15" customHeight="1" x14ac:dyDescent="0.25">
      <c r="A13" t="s">
        <v>378</v>
      </c>
      <c r="B13" t="s">
        <v>297</v>
      </c>
      <c r="C13" s="3">
        <v>2023</v>
      </c>
      <c r="D13" t="s">
        <v>34</v>
      </c>
      <c r="E13" t="s">
        <v>2602</v>
      </c>
      <c r="F13" t="s">
        <v>299</v>
      </c>
      <c r="G13" s="18" t="s">
        <v>302</v>
      </c>
      <c r="H13" t="s">
        <v>300</v>
      </c>
      <c r="I13" t="s">
        <v>2454</v>
      </c>
      <c r="J13" t="s">
        <v>301</v>
      </c>
      <c r="K13" t="s">
        <v>29</v>
      </c>
      <c r="M13" t="s">
        <v>2454</v>
      </c>
      <c r="N13" t="s">
        <v>303</v>
      </c>
      <c r="O13" s="57" t="s">
        <v>304</v>
      </c>
      <c r="P13" t="s">
        <v>2513</v>
      </c>
      <c r="Q13" s="1" t="s">
        <v>2462</v>
      </c>
      <c r="R13" t="s">
        <v>2426</v>
      </c>
      <c r="S13" t="s">
        <v>24</v>
      </c>
    </row>
    <row r="14" spans="1:19" ht="15" customHeight="1" x14ac:dyDescent="0.25">
      <c r="A14" t="s">
        <v>40</v>
      </c>
      <c r="B14" t="s">
        <v>92</v>
      </c>
      <c r="C14" s="3">
        <v>2023</v>
      </c>
      <c r="D14" t="s">
        <v>34</v>
      </c>
      <c r="E14" t="s">
        <v>2602</v>
      </c>
      <c r="F14" t="s">
        <v>94</v>
      </c>
      <c r="G14" s="18" t="s">
        <v>96</v>
      </c>
      <c r="H14" t="s">
        <v>29</v>
      </c>
      <c r="I14" t="s">
        <v>93</v>
      </c>
      <c r="J14" t="s">
        <v>95</v>
      </c>
      <c r="K14" t="s">
        <v>29</v>
      </c>
      <c r="M14" t="s">
        <v>93</v>
      </c>
      <c r="N14" t="s">
        <v>2599</v>
      </c>
      <c r="O14" s="58" t="s">
        <v>97</v>
      </c>
      <c r="P14" t="s">
        <v>2522</v>
      </c>
      <c r="Q14" s="1" t="s">
        <v>2464</v>
      </c>
      <c r="R14" t="s">
        <v>2447</v>
      </c>
    </row>
    <row r="15" spans="1:19" ht="15" customHeight="1" x14ac:dyDescent="0.25">
      <c r="A15" t="s">
        <v>378</v>
      </c>
      <c r="B15" t="s">
        <v>851</v>
      </c>
      <c r="C15" s="3">
        <v>2023</v>
      </c>
      <c r="D15" t="s">
        <v>34</v>
      </c>
      <c r="E15" t="s">
        <v>2602</v>
      </c>
      <c r="F15" t="s">
        <v>852</v>
      </c>
      <c r="G15" s="53" t="s">
        <v>2530</v>
      </c>
      <c r="H15" s="54">
        <v>45239</v>
      </c>
      <c r="I15" t="s">
        <v>855</v>
      </c>
      <c r="M15" t="s">
        <v>855</v>
      </c>
      <c r="N15" t="s">
        <v>2532</v>
      </c>
      <c r="O15" s="58" t="s">
        <v>2531</v>
      </c>
      <c r="P15" t="s">
        <v>2540</v>
      </c>
      <c r="Q15" s="1" t="s">
        <v>2542</v>
      </c>
      <c r="R15" t="s">
        <v>73</v>
      </c>
      <c r="S15" t="s">
        <v>24</v>
      </c>
    </row>
    <row r="16" spans="1:19" ht="15" customHeight="1" x14ac:dyDescent="0.25">
      <c r="A16" t="s">
        <v>378</v>
      </c>
      <c r="B16" t="s">
        <v>259</v>
      </c>
      <c r="C16" s="3">
        <v>2023</v>
      </c>
      <c r="D16" t="s">
        <v>34</v>
      </c>
      <c r="E16" t="s">
        <v>2602</v>
      </c>
      <c r="F16" t="s">
        <v>261</v>
      </c>
      <c r="G16" s="18" t="s">
        <v>264</v>
      </c>
      <c r="H16" t="s">
        <v>262</v>
      </c>
      <c r="I16" t="s">
        <v>260</v>
      </c>
      <c r="J16" t="s">
        <v>263</v>
      </c>
      <c r="K16" t="s">
        <v>29</v>
      </c>
      <c r="M16" t="s">
        <v>260</v>
      </c>
      <c r="N16" t="s">
        <v>265</v>
      </c>
      <c r="O16" s="59" t="s">
        <v>145</v>
      </c>
      <c r="P16" t="s">
        <v>2494</v>
      </c>
      <c r="Q16" s="1" t="s">
        <v>2470</v>
      </c>
      <c r="R16" t="s">
        <v>2426</v>
      </c>
      <c r="S16" t="s">
        <v>24</v>
      </c>
    </row>
    <row r="17" spans="1:19" ht="15" customHeight="1" x14ac:dyDescent="0.25">
      <c r="A17" t="s">
        <v>40</v>
      </c>
      <c r="B17" t="s">
        <v>139</v>
      </c>
      <c r="C17" s="3">
        <v>2023</v>
      </c>
      <c r="D17" t="s">
        <v>34</v>
      </c>
      <c r="E17" t="s">
        <v>2602</v>
      </c>
      <c r="F17" t="s">
        <v>620</v>
      </c>
      <c r="G17" s="18" t="s">
        <v>143</v>
      </c>
      <c r="H17" t="s">
        <v>29</v>
      </c>
      <c r="I17" t="s">
        <v>140</v>
      </c>
      <c r="J17" t="s">
        <v>142</v>
      </c>
      <c r="K17" t="s">
        <v>29</v>
      </c>
      <c r="M17" t="s">
        <v>140</v>
      </c>
      <c r="N17" t="s">
        <v>144</v>
      </c>
      <c r="O17" s="59" t="s">
        <v>145</v>
      </c>
      <c r="P17" s="5" t="s">
        <v>2494</v>
      </c>
      <c r="Q17" s="1" t="s">
        <v>2462</v>
      </c>
      <c r="R17" t="s">
        <v>2447</v>
      </c>
    </row>
    <row r="18" spans="1:19" ht="15" customHeight="1" x14ac:dyDescent="0.25">
      <c r="A18" t="s">
        <v>378</v>
      </c>
      <c r="B18" t="s">
        <v>290</v>
      </c>
      <c r="C18" s="3">
        <v>2023</v>
      </c>
      <c r="D18" t="s">
        <v>34</v>
      </c>
      <c r="E18" t="s">
        <v>2602</v>
      </c>
      <c r="F18" t="s">
        <v>292</v>
      </c>
      <c r="G18" s="18" t="s">
        <v>295</v>
      </c>
      <c r="H18" t="s">
        <v>293</v>
      </c>
      <c r="I18" t="s">
        <v>2453</v>
      </c>
      <c r="J18" t="s">
        <v>294</v>
      </c>
      <c r="K18" t="s">
        <v>29</v>
      </c>
      <c r="M18" t="s">
        <v>2453</v>
      </c>
      <c r="N18" t="s">
        <v>296</v>
      </c>
      <c r="O18" s="59" t="s">
        <v>113</v>
      </c>
      <c r="P18" t="s">
        <v>2514</v>
      </c>
      <c r="Q18" s="1" t="s">
        <v>2462</v>
      </c>
      <c r="R18" t="s">
        <v>2430</v>
      </c>
    </row>
    <row r="19" spans="1:19" ht="15" customHeight="1" x14ac:dyDescent="0.25">
      <c r="A19" t="s">
        <v>40</v>
      </c>
      <c r="B19" t="s">
        <v>35</v>
      </c>
      <c r="C19" s="3">
        <v>2023</v>
      </c>
      <c r="D19" t="s">
        <v>34</v>
      </c>
      <c r="E19" t="s">
        <v>2602</v>
      </c>
      <c r="F19" t="s">
        <v>37</v>
      </c>
      <c r="G19" s="18" t="s">
        <v>39</v>
      </c>
      <c r="H19" t="s">
        <v>29</v>
      </c>
      <c r="I19" t="s">
        <v>2458</v>
      </c>
      <c r="J19" t="s">
        <v>38</v>
      </c>
      <c r="K19" t="s">
        <v>29</v>
      </c>
      <c r="M19" t="s">
        <v>2458</v>
      </c>
      <c r="N19" t="s">
        <v>2595</v>
      </c>
      <c r="O19" s="58" t="s">
        <v>41</v>
      </c>
      <c r="P19" t="s">
        <v>2505</v>
      </c>
      <c r="Q19" s="1" t="s">
        <v>2462</v>
      </c>
      <c r="R19" t="s">
        <v>2389</v>
      </c>
      <c r="S19" t="s">
        <v>24</v>
      </c>
    </row>
    <row r="20" spans="1:19" ht="15" customHeight="1" x14ac:dyDescent="0.25">
      <c r="A20" s="4" t="s">
        <v>40</v>
      </c>
      <c r="B20" t="s">
        <v>65</v>
      </c>
      <c r="C20" s="3">
        <v>2022</v>
      </c>
      <c r="D20" t="s">
        <v>14</v>
      </c>
      <c r="E20" t="s">
        <v>370</v>
      </c>
      <c r="F20" t="s">
        <v>67</v>
      </c>
      <c r="G20" s="18" t="s">
        <v>69</v>
      </c>
      <c r="H20" t="s">
        <v>29</v>
      </c>
      <c r="I20" t="s">
        <v>66</v>
      </c>
      <c r="J20" t="s">
        <v>68</v>
      </c>
      <c r="K20" t="s">
        <v>29</v>
      </c>
      <c r="L20" s="4" t="s">
        <v>70</v>
      </c>
      <c r="M20" t="s">
        <v>66</v>
      </c>
      <c r="N20" t="s">
        <v>71</v>
      </c>
      <c r="O20" s="58" t="s">
        <v>72</v>
      </c>
      <c r="P20" t="s">
        <v>2494</v>
      </c>
      <c r="Q20" s="1" t="s">
        <v>2470</v>
      </c>
      <c r="R20" t="s">
        <v>73</v>
      </c>
    </row>
    <row r="21" spans="1:19" ht="15" customHeight="1" x14ac:dyDescent="0.25">
      <c r="A21" t="s">
        <v>371</v>
      </c>
      <c r="B21" t="s">
        <v>274</v>
      </c>
      <c r="C21" s="3">
        <v>2023</v>
      </c>
      <c r="D21" t="s">
        <v>14</v>
      </c>
      <c r="E21" t="s">
        <v>377</v>
      </c>
      <c r="F21" t="s">
        <v>966</v>
      </c>
      <c r="G21" s="38" t="s">
        <v>967</v>
      </c>
      <c r="H21" t="s">
        <v>2393</v>
      </c>
      <c r="I21" s="1" t="s">
        <v>965</v>
      </c>
      <c r="J21" t="s">
        <v>968</v>
      </c>
      <c r="L21" s="4"/>
      <c r="M21" t="s">
        <v>275</v>
      </c>
      <c r="N21" t="s">
        <v>2394</v>
      </c>
      <c r="O21" s="1" t="s">
        <v>2395</v>
      </c>
      <c r="P21" t="s">
        <v>2517</v>
      </c>
      <c r="Q21" s="1" t="s">
        <v>2462</v>
      </c>
      <c r="R21" t="s">
        <v>2426</v>
      </c>
      <c r="S21" t="s">
        <v>24</v>
      </c>
    </row>
    <row r="22" spans="1:19" ht="15" customHeight="1" x14ac:dyDescent="0.25">
      <c r="A22" t="s">
        <v>371</v>
      </c>
      <c r="B22" t="s">
        <v>25</v>
      </c>
      <c r="C22" s="3">
        <v>2024</v>
      </c>
      <c r="D22" t="s">
        <v>14</v>
      </c>
      <c r="E22" t="s">
        <v>377</v>
      </c>
      <c r="F22" t="s">
        <v>27</v>
      </c>
      <c r="G22" s="18" t="s">
        <v>31</v>
      </c>
      <c r="H22" t="s">
        <v>28</v>
      </c>
      <c r="I22" t="s">
        <v>26</v>
      </c>
      <c r="J22" t="s">
        <v>30</v>
      </c>
      <c r="K22" t="s">
        <v>29</v>
      </c>
      <c r="M22" t="s">
        <v>26</v>
      </c>
      <c r="N22" t="s">
        <v>32</v>
      </c>
      <c r="O22" s="58" t="s">
        <v>33</v>
      </c>
      <c r="P22" t="s">
        <v>2503</v>
      </c>
      <c r="Q22" s="1" t="s">
        <v>2472</v>
      </c>
      <c r="R22" t="s">
        <v>2422</v>
      </c>
      <c r="S22" t="s">
        <v>24</v>
      </c>
    </row>
    <row r="23" spans="1:19" ht="15" customHeight="1" x14ac:dyDescent="0.25">
      <c r="A23" t="s">
        <v>40</v>
      </c>
      <c r="B23" t="s">
        <v>131</v>
      </c>
      <c r="C23" s="3">
        <v>2023</v>
      </c>
      <c r="D23" t="s">
        <v>130</v>
      </c>
      <c r="E23" t="s">
        <v>464</v>
      </c>
      <c r="F23" t="s">
        <v>133</v>
      </c>
      <c r="G23" s="38" t="s">
        <v>134</v>
      </c>
      <c r="H23" t="s">
        <v>29</v>
      </c>
      <c r="I23" t="s">
        <v>2459</v>
      </c>
      <c r="J23" t="s">
        <v>29</v>
      </c>
      <c r="K23" t="s">
        <v>29</v>
      </c>
      <c r="L23" s="4"/>
      <c r="M23" t="s">
        <v>2459</v>
      </c>
      <c r="N23" t="s">
        <v>2401</v>
      </c>
      <c r="O23" s="62" t="s">
        <v>2402</v>
      </c>
      <c r="P23" t="s">
        <v>2495</v>
      </c>
      <c r="Q23" s="1" t="s">
        <v>2470</v>
      </c>
      <c r="R23" t="s">
        <v>2437</v>
      </c>
    </row>
    <row r="24" spans="1:19" ht="15" customHeight="1" x14ac:dyDescent="0.25">
      <c r="A24" t="s">
        <v>371</v>
      </c>
      <c r="B24" t="s">
        <v>1051</v>
      </c>
      <c r="C24" s="3">
        <v>2024</v>
      </c>
      <c r="D24" t="s">
        <v>14</v>
      </c>
      <c r="E24" t="s">
        <v>377</v>
      </c>
      <c r="F24" t="s">
        <v>979</v>
      </c>
      <c r="G24" s="55" t="s">
        <v>1053</v>
      </c>
      <c r="H24" s="54">
        <v>45312</v>
      </c>
      <c r="I24" t="s">
        <v>1052</v>
      </c>
      <c r="M24" t="s">
        <v>1052</v>
      </c>
      <c r="N24" t="s">
        <v>2536</v>
      </c>
      <c r="O24" s="63" t="s">
        <v>2537</v>
      </c>
      <c r="P24" s="79" t="s">
        <v>2541</v>
      </c>
      <c r="Q24" s="1" t="s">
        <v>2462</v>
      </c>
      <c r="R24" t="s">
        <v>2547</v>
      </c>
    </row>
    <row r="25" spans="1:19" ht="15" customHeight="1" x14ac:dyDescent="0.25">
      <c r="A25" t="s">
        <v>371</v>
      </c>
      <c r="B25" t="s">
        <v>98</v>
      </c>
      <c r="C25" s="3">
        <v>2024</v>
      </c>
      <c r="D25" t="s">
        <v>14</v>
      </c>
      <c r="E25" t="s">
        <v>377</v>
      </c>
      <c r="F25" t="s">
        <v>100</v>
      </c>
      <c r="G25" s="18" t="s">
        <v>104</v>
      </c>
      <c r="H25" t="s">
        <v>101</v>
      </c>
      <c r="I25" t="s">
        <v>99</v>
      </c>
      <c r="J25" t="s">
        <v>102</v>
      </c>
      <c r="K25" t="s">
        <v>103</v>
      </c>
      <c r="M25" t="s">
        <v>99</v>
      </c>
      <c r="N25" t="s">
        <v>105</v>
      </c>
      <c r="O25" s="57" t="s">
        <v>106</v>
      </c>
      <c r="P25" t="s">
        <v>2523</v>
      </c>
      <c r="Q25" s="1" t="s">
        <v>2469</v>
      </c>
      <c r="R25"/>
    </row>
    <row r="26" spans="1:19" ht="15" customHeight="1" x14ac:dyDescent="0.25">
      <c r="A26" t="s">
        <v>371</v>
      </c>
      <c r="B26" t="s">
        <v>114</v>
      </c>
      <c r="C26" s="3">
        <v>2021</v>
      </c>
      <c r="D26" t="s">
        <v>14</v>
      </c>
      <c r="E26" t="s">
        <v>377</v>
      </c>
      <c r="F26" t="s">
        <v>116</v>
      </c>
      <c r="G26" s="18" t="s">
        <v>119</v>
      </c>
      <c r="H26" t="s">
        <v>117</v>
      </c>
      <c r="I26" t="s">
        <v>115</v>
      </c>
      <c r="J26" t="s">
        <v>118</v>
      </c>
      <c r="K26" t="s">
        <v>29</v>
      </c>
      <c r="M26" t="s">
        <v>115</v>
      </c>
      <c r="N26" t="s">
        <v>120</v>
      </c>
      <c r="O26" s="58" t="s">
        <v>121</v>
      </c>
      <c r="P26" t="s">
        <v>2506</v>
      </c>
      <c r="Q26" s="1" t="s">
        <v>2470</v>
      </c>
      <c r="R26" t="s">
        <v>2424</v>
      </c>
      <c r="S26" t="s">
        <v>24</v>
      </c>
    </row>
    <row r="27" spans="1:19" ht="15" customHeight="1" x14ac:dyDescent="0.25">
      <c r="A27" t="s">
        <v>40</v>
      </c>
      <c r="B27" t="s">
        <v>305</v>
      </c>
      <c r="C27" s="3">
        <v>2023</v>
      </c>
      <c r="D27" t="s">
        <v>14</v>
      </c>
      <c r="E27" t="s">
        <v>503</v>
      </c>
      <c r="F27" t="s">
        <v>307</v>
      </c>
      <c r="G27" s="18" t="s">
        <v>309</v>
      </c>
      <c r="H27" t="s">
        <v>29</v>
      </c>
      <c r="I27" t="s">
        <v>306</v>
      </c>
      <c r="J27" t="s">
        <v>308</v>
      </c>
      <c r="K27" t="s">
        <v>29</v>
      </c>
      <c r="M27" t="s">
        <v>306</v>
      </c>
      <c r="N27" t="s">
        <v>310</v>
      </c>
      <c r="O27" s="57" t="s">
        <v>311</v>
      </c>
      <c r="P27" t="s">
        <v>2500</v>
      </c>
      <c r="Q27" s="1" t="s">
        <v>2462</v>
      </c>
      <c r="R27" t="s">
        <v>73</v>
      </c>
      <c r="S27" t="s">
        <v>24</v>
      </c>
    </row>
    <row r="28" spans="1:19" ht="15" customHeight="1" x14ac:dyDescent="0.25">
      <c r="A28" t="s">
        <v>425</v>
      </c>
      <c r="B28" t="s">
        <v>344</v>
      </c>
      <c r="C28" s="3">
        <v>2023</v>
      </c>
      <c r="D28" t="s">
        <v>14</v>
      </c>
      <c r="E28" t="s">
        <v>370</v>
      </c>
      <c r="F28" t="s">
        <v>148</v>
      </c>
      <c r="G28" s="2" t="s">
        <v>2386</v>
      </c>
      <c r="H28" t="s">
        <v>346</v>
      </c>
      <c r="I28" t="s">
        <v>345</v>
      </c>
      <c r="J28" t="s">
        <v>347</v>
      </c>
      <c r="K28" t="s">
        <v>348</v>
      </c>
      <c r="M28" t="s">
        <v>345</v>
      </c>
      <c r="N28" t="s">
        <v>2404</v>
      </c>
      <c r="O28" s="57" t="s">
        <v>2403</v>
      </c>
      <c r="P28" t="s">
        <v>2511</v>
      </c>
      <c r="Q28" s="1" t="s">
        <v>2466</v>
      </c>
      <c r="R28" t="s">
        <v>73</v>
      </c>
    </row>
    <row r="29" spans="1:19" ht="15" customHeight="1" x14ac:dyDescent="0.25">
      <c r="A29" t="s">
        <v>425</v>
      </c>
      <c r="B29" t="s">
        <v>146</v>
      </c>
      <c r="C29" s="3">
        <v>2022</v>
      </c>
      <c r="D29" t="s">
        <v>14</v>
      </c>
      <c r="E29" t="s">
        <v>370</v>
      </c>
      <c r="F29" t="s">
        <v>148</v>
      </c>
      <c r="G29" s="18" t="s">
        <v>152</v>
      </c>
      <c r="H29" t="s">
        <v>149</v>
      </c>
      <c r="I29" t="s">
        <v>147</v>
      </c>
      <c r="J29" t="s">
        <v>150</v>
      </c>
      <c r="K29" t="s">
        <v>151</v>
      </c>
      <c r="M29" t="s">
        <v>147</v>
      </c>
      <c r="N29" t="s">
        <v>153</v>
      </c>
      <c r="O29" s="57" t="s">
        <v>154</v>
      </c>
      <c r="P29" t="s">
        <v>2494</v>
      </c>
      <c r="Q29" s="1" t="s">
        <v>2462</v>
      </c>
      <c r="R29" t="s">
        <v>155</v>
      </c>
      <c r="S29" t="s">
        <v>24</v>
      </c>
    </row>
    <row r="30" spans="1:19" ht="15" customHeight="1" x14ac:dyDescent="0.25">
      <c r="A30" t="s">
        <v>425</v>
      </c>
      <c r="B30" t="s">
        <v>349</v>
      </c>
      <c r="C30" s="3">
        <v>2023</v>
      </c>
      <c r="D30" t="s">
        <v>14</v>
      </c>
      <c r="E30" t="s">
        <v>370</v>
      </c>
      <c r="F30" t="s">
        <v>148</v>
      </c>
      <c r="G30" s="2" t="s">
        <v>2387</v>
      </c>
      <c r="H30" t="s">
        <v>351</v>
      </c>
      <c r="I30" t="s">
        <v>350</v>
      </c>
      <c r="J30" t="s">
        <v>352</v>
      </c>
      <c r="K30" t="s">
        <v>353</v>
      </c>
      <c r="M30" t="s">
        <v>350</v>
      </c>
      <c r="N30" t="s">
        <v>2405</v>
      </c>
      <c r="O30" s="57" t="s">
        <v>2406</v>
      </c>
      <c r="P30" t="s">
        <v>2585</v>
      </c>
      <c r="Q30" s="1" t="s">
        <v>2468</v>
      </c>
      <c r="R30" t="s">
        <v>2431</v>
      </c>
    </row>
    <row r="31" spans="1:19" ht="15" customHeight="1" x14ac:dyDescent="0.25">
      <c r="A31" t="s">
        <v>40</v>
      </c>
      <c r="B31" t="s">
        <v>156</v>
      </c>
      <c r="C31" s="3">
        <v>2022</v>
      </c>
      <c r="D31" t="s">
        <v>14</v>
      </c>
      <c r="E31" t="s">
        <v>2603</v>
      </c>
      <c r="F31" t="s">
        <v>158</v>
      </c>
      <c r="G31" s="18" t="s">
        <v>160</v>
      </c>
      <c r="H31" t="s">
        <v>29</v>
      </c>
      <c r="I31" t="s">
        <v>2457</v>
      </c>
      <c r="J31" t="s">
        <v>159</v>
      </c>
      <c r="K31" t="s">
        <v>29</v>
      </c>
      <c r="M31" t="s">
        <v>2457</v>
      </c>
      <c r="N31" t="s">
        <v>161</v>
      </c>
      <c r="O31" s="59" t="s">
        <v>113</v>
      </c>
      <c r="P31" t="s">
        <v>2508</v>
      </c>
      <c r="Q31" s="1" t="s">
        <v>2462</v>
      </c>
      <c r="R31" t="s">
        <v>2428</v>
      </c>
      <c r="S31" t="s">
        <v>24</v>
      </c>
    </row>
    <row r="32" spans="1:19" ht="15" customHeight="1" x14ac:dyDescent="0.25">
      <c r="A32" t="s">
        <v>425</v>
      </c>
      <c r="B32" t="s">
        <v>122</v>
      </c>
      <c r="C32" s="3">
        <v>2021</v>
      </c>
      <c r="D32" t="s">
        <v>14</v>
      </c>
      <c r="E32" t="s">
        <v>2602</v>
      </c>
      <c r="F32" t="s">
        <v>17</v>
      </c>
      <c r="G32" s="18" t="s">
        <v>127</v>
      </c>
      <c r="H32" t="s">
        <v>124</v>
      </c>
      <c r="I32" t="s">
        <v>123</v>
      </c>
      <c r="J32" t="s">
        <v>125</v>
      </c>
      <c r="K32" t="s">
        <v>126</v>
      </c>
      <c r="M32" t="s">
        <v>123</v>
      </c>
      <c r="N32" t="s">
        <v>128</v>
      </c>
      <c r="O32" s="57" t="s">
        <v>129</v>
      </c>
      <c r="P32" t="s">
        <v>2497</v>
      </c>
      <c r="Q32" s="1" t="s">
        <v>2462</v>
      </c>
      <c r="R32" t="s">
        <v>2427</v>
      </c>
      <c r="S32" t="s">
        <v>24</v>
      </c>
    </row>
    <row r="33" spans="1:19" ht="15" customHeight="1" x14ac:dyDescent="0.25">
      <c r="A33" t="s">
        <v>425</v>
      </c>
      <c r="B33" t="s">
        <v>354</v>
      </c>
      <c r="C33" s="3">
        <v>2023</v>
      </c>
      <c r="D33" t="s">
        <v>14</v>
      </c>
      <c r="E33" t="s">
        <v>2602</v>
      </c>
      <c r="F33" t="s">
        <v>17</v>
      </c>
      <c r="G33" s="2" t="s">
        <v>2407</v>
      </c>
      <c r="H33" t="s">
        <v>18</v>
      </c>
      <c r="I33" t="s">
        <v>355</v>
      </c>
      <c r="J33" t="s">
        <v>356</v>
      </c>
      <c r="K33" t="s">
        <v>357</v>
      </c>
      <c r="M33" t="s">
        <v>355</v>
      </c>
      <c r="N33" t="s">
        <v>2408</v>
      </c>
      <c r="O33" s="57" t="s">
        <v>33</v>
      </c>
      <c r="P33" t="s">
        <v>2586</v>
      </c>
      <c r="Q33" s="1" t="s">
        <v>2471</v>
      </c>
      <c r="R33"/>
      <c r="S33" t="s">
        <v>24</v>
      </c>
    </row>
    <row r="34" spans="1:19" ht="15" customHeight="1" x14ac:dyDescent="0.25">
      <c r="A34" t="s">
        <v>425</v>
      </c>
      <c r="B34" t="s">
        <v>15</v>
      </c>
      <c r="C34" s="3">
        <v>2023</v>
      </c>
      <c r="D34" t="s">
        <v>14</v>
      </c>
      <c r="E34" t="s">
        <v>2602</v>
      </c>
      <c r="F34" t="s">
        <v>17</v>
      </c>
      <c r="G34" s="18" t="s">
        <v>21</v>
      </c>
      <c r="H34" t="s">
        <v>18</v>
      </c>
      <c r="I34" t="s">
        <v>16</v>
      </c>
      <c r="J34" t="s">
        <v>19</v>
      </c>
      <c r="K34" t="s">
        <v>20</v>
      </c>
      <c r="M34" t="s">
        <v>16</v>
      </c>
      <c r="N34" t="s">
        <v>22</v>
      </c>
      <c r="O34" s="57" t="s">
        <v>23</v>
      </c>
      <c r="P34" t="s">
        <v>2512</v>
      </c>
      <c r="Q34" s="1" t="s">
        <v>2478</v>
      </c>
      <c r="R34" t="s">
        <v>2433</v>
      </c>
      <c r="S34" t="s">
        <v>24</v>
      </c>
    </row>
    <row r="35" spans="1:19" ht="15" customHeight="1" x14ac:dyDescent="0.25">
      <c r="A35" t="s">
        <v>425</v>
      </c>
      <c r="B35" t="s">
        <v>167</v>
      </c>
      <c r="C35" s="3">
        <v>2022</v>
      </c>
      <c r="D35" t="s">
        <v>14</v>
      </c>
      <c r="E35" t="s">
        <v>2602</v>
      </c>
      <c r="F35" t="s">
        <v>17</v>
      </c>
      <c r="G35" s="18" t="s">
        <v>172</v>
      </c>
      <c r="H35" t="s">
        <v>169</v>
      </c>
      <c r="I35" t="s">
        <v>168</v>
      </c>
      <c r="J35" t="s">
        <v>170</v>
      </c>
      <c r="K35" t="s">
        <v>171</v>
      </c>
      <c r="M35" t="s">
        <v>168</v>
      </c>
      <c r="N35" t="s">
        <v>173</v>
      </c>
      <c r="O35" s="59" t="s">
        <v>113</v>
      </c>
      <c r="P35" t="s">
        <v>2494</v>
      </c>
      <c r="Q35" s="1" t="s">
        <v>2462</v>
      </c>
      <c r="R35" t="s">
        <v>73</v>
      </c>
      <c r="S35" t="s">
        <v>24</v>
      </c>
    </row>
    <row r="36" spans="1:19" ht="15" customHeight="1" x14ac:dyDescent="0.25">
      <c r="A36" t="s">
        <v>425</v>
      </c>
      <c r="B36" t="s">
        <v>200</v>
      </c>
      <c r="C36" s="3">
        <v>2022</v>
      </c>
      <c r="D36" t="s">
        <v>14</v>
      </c>
      <c r="E36" t="s">
        <v>2604</v>
      </c>
      <c r="F36" t="s">
        <v>202</v>
      </c>
      <c r="G36" s="38" t="s">
        <v>206</v>
      </c>
      <c r="H36" t="s">
        <v>203</v>
      </c>
      <c r="I36" t="s">
        <v>201</v>
      </c>
      <c r="J36" t="s">
        <v>204</v>
      </c>
      <c r="K36" t="s">
        <v>205</v>
      </c>
      <c r="L36" s="4"/>
      <c r="M36" t="s">
        <v>201</v>
      </c>
      <c r="N36" t="s">
        <v>2397</v>
      </c>
      <c r="O36" s="59" t="s">
        <v>113</v>
      </c>
      <c r="P36" t="s">
        <v>2524</v>
      </c>
      <c r="Q36" s="1" t="s">
        <v>2479</v>
      </c>
      <c r="R36" t="s">
        <v>73</v>
      </c>
    </row>
    <row r="37" spans="1:19" ht="15" customHeight="1" x14ac:dyDescent="0.25">
      <c r="A37" t="s">
        <v>378</v>
      </c>
      <c r="B37" t="s">
        <v>871</v>
      </c>
      <c r="C37" s="3">
        <v>2023</v>
      </c>
      <c r="D37" t="s">
        <v>34</v>
      </c>
      <c r="E37" t="s">
        <v>2602</v>
      </c>
      <c r="F37" t="s">
        <v>872</v>
      </c>
      <c r="G37" s="53" t="s">
        <v>2533</v>
      </c>
      <c r="H37" s="54">
        <v>45219</v>
      </c>
      <c r="I37" t="s">
        <v>876</v>
      </c>
      <c r="J37" s="2" t="s">
        <v>875</v>
      </c>
      <c r="M37" t="s">
        <v>876</v>
      </c>
      <c r="N37" t="s">
        <v>2535</v>
      </c>
      <c r="O37" s="59" t="s">
        <v>145</v>
      </c>
      <c r="P37" t="s">
        <v>2494</v>
      </c>
      <c r="Q37" t="s">
        <v>2543</v>
      </c>
      <c r="R37" t="s">
        <v>2534</v>
      </c>
    </row>
    <row r="38" spans="1:19" ht="15" customHeight="1" x14ac:dyDescent="0.25">
      <c r="A38" t="s">
        <v>371</v>
      </c>
      <c r="B38" t="s">
        <v>336</v>
      </c>
      <c r="C38" s="3">
        <v>2023</v>
      </c>
      <c r="D38" t="s">
        <v>14</v>
      </c>
      <c r="E38" t="s">
        <v>377</v>
      </c>
      <c r="F38" t="s">
        <v>338</v>
      </c>
      <c r="G38" s="18" t="s">
        <v>341</v>
      </c>
      <c r="H38" t="s">
        <v>339</v>
      </c>
      <c r="I38" t="s">
        <v>337</v>
      </c>
      <c r="J38" s="2" t="s">
        <v>340</v>
      </c>
      <c r="K38" t="s">
        <v>29</v>
      </c>
      <c r="M38" t="s">
        <v>337</v>
      </c>
      <c r="N38" t="s">
        <v>342</v>
      </c>
      <c r="O38" s="57" t="s">
        <v>343</v>
      </c>
      <c r="P38" t="s">
        <v>2527</v>
      </c>
      <c r="Q38" s="1" t="s">
        <v>2462</v>
      </c>
      <c r="R38" t="s">
        <v>2589</v>
      </c>
    </row>
    <row r="39" spans="1:19" ht="15" customHeight="1" x14ac:dyDescent="0.25">
      <c r="A39" t="s">
        <v>371</v>
      </c>
      <c r="B39" t="s">
        <v>282</v>
      </c>
      <c r="C39" s="3">
        <v>2022</v>
      </c>
      <c r="D39" t="s">
        <v>14</v>
      </c>
      <c r="E39" t="s">
        <v>377</v>
      </c>
      <c r="F39" t="s">
        <v>284</v>
      </c>
      <c r="G39" s="18" t="s">
        <v>287</v>
      </c>
      <c r="H39" t="s">
        <v>285</v>
      </c>
      <c r="I39" t="s">
        <v>283</v>
      </c>
      <c r="J39" t="s">
        <v>286</v>
      </c>
      <c r="K39" t="s">
        <v>29</v>
      </c>
      <c r="M39" t="s">
        <v>283</v>
      </c>
      <c r="N39" t="s">
        <v>288</v>
      </c>
      <c r="O39" s="57" t="s">
        <v>289</v>
      </c>
      <c r="P39" t="s">
        <v>2518</v>
      </c>
      <c r="Q39" s="1" t="s">
        <v>2470</v>
      </c>
      <c r="R39" t="s">
        <v>2588</v>
      </c>
    </row>
    <row r="40" spans="1:19" ht="15" customHeight="1" x14ac:dyDescent="0.25">
      <c r="A40" t="s">
        <v>40</v>
      </c>
      <c r="B40" t="s">
        <v>229</v>
      </c>
      <c r="C40" s="3">
        <v>2022</v>
      </c>
      <c r="D40" t="s">
        <v>34</v>
      </c>
      <c r="E40" t="s">
        <v>503</v>
      </c>
      <c r="F40" t="s">
        <v>231</v>
      </c>
      <c r="G40" s="18" t="s">
        <v>233</v>
      </c>
      <c r="H40" t="s">
        <v>29</v>
      </c>
      <c r="I40" t="s">
        <v>2451</v>
      </c>
      <c r="J40" t="s">
        <v>232</v>
      </c>
      <c r="K40" t="s">
        <v>29</v>
      </c>
      <c r="M40" t="s">
        <v>2451</v>
      </c>
      <c r="N40" t="s">
        <v>234</v>
      </c>
      <c r="O40" s="57" t="s">
        <v>235</v>
      </c>
      <c r="P40" t="s">
        <v>2516</v>
      </c>
      <c r="Q40" s="1" t="s">
        <v>2465</v>
      </c>
      <c r="R40" t="s">
        <v>73</v>
      </c>
      <c r="S40" t="s">
        <v>24</v>
      </c>
    </row>
    <row r="41" spans="1:19" s="40" customFormat="1" ht="15" customHeight="1" x14ac:dyDescent="0.25">
      <c r="A41" t="s">
        <v>40</v>
      </c>
      <c r="B41" t="s">
        <v>79</v>
      </c>
      <c r="C41" s="3">
        <v>2021</v>
      </c>
      <c r="D41" t="s">
        <v>34</v>
      </c>
      <c r="E41" t="s">
        <v>503</v>
      </c>
      <c r="F41" t="s">
        <v>81</v>
      </c>
      <c r="G41" s="18" t="s">
        <v>83</v>
      </c>
      <c r="H41" t="s">
        <v>29</v>
      </c>
      <c r="I41" t="s">
        <v>80</v>
      </c>
      <c r="J41" t="s">
        <v>82</v>
      </c>
      <c r="K41" t="s">
        <v>29</v>
      </c>
      <c r="L41"/>
      <c r="M41" t="s">
        <v>80</v>
      </c>
      <c r="N41" t="s">
        <v>84</v>
      </c>
      <c r="O41" s="58" t="s">
        <v>85</v>
      </c>
      <c r="P41" t="s">
        <v>2492</v>
      </c>
      <c r="Q41" s="1" t="s">
        <v>2462</v>
      </c>
      <c r="R41" t="s">
        <v>2435</v>
      </c>
    </row>
    <row r="42" spans="1:19" ht="15" customHeight="1" x14ac:dyDescent="0.25">
      <c r="A42" t="s">
        <v>425</v>
      </c>
      <c r="B42" t="s">
        <v>251</v>
      </c>
      <c r="C42" s="3">
        <v>2022</v>
      </c>
      <c r="D42" t="s">
        <v>14</v>
      </c>
      <c r="E42" t="s">
        <v>503</v>
      </c>
      <c r="F42" t="s">
        <v>253</v>
      </c>
      <c r="G42" s="18" t="s">
        <v>256</v>
      </c>
      <c r="H42" t="s">
        <v>219</v>
      </c>
      <c r="I42" t="s">
        <v>252</v>
      </c>
      <c r="J42" t="s">
        <v>254</v>
      </c>
      <c r="K42" t="s">
        <v>255</v>
      </c>
      <c r="M42" t="s">
        <v>252</v>
      </c>
      <c r="N42" t="s">
        <v>257</v>
      </c>
      <c r="O42" s="57" t="s">
        <v>258</v>
      </c>
      <c r="P42" t="s">
        <v>2498</v>
      </c>
      <c r="Q42" s="1" t="s">
        <v>2470</v>
      </c>
      <c r="R42" t="s">
        <v>2544</v>
      </c>
    </row>
    <row r="43" spans="1:19" ht="15" customHeight="1" x14ac:dyDescent="0.25">
      <c r="A43" t="s">
        <v>371</v>
      </c>
      <c r="B43" t="s">
        <v>59</v>
      </c>
      <c r="C43" s="3">
        <v>2021</v>
      </c>
      <c r="D43" t="s">
        <v>14</v>
      </c>
      <c r="E43" t="s">
        <v>377</v>
      </c>
      <c r="F43" t="s">
        <v>61</v>
      </c>
      <c r="G43" s="38" t="s">
        <v>2392</v>
      </c>
      <c r="H43" t="s">
        <v>62</v>
      </c>
      <c r="I43" t="s">
        <v>60</v>
      </c>
      <c r="J43" t="s">
        <v>63</v>
      </c>
      <c r="K43" t="s">
        <v>64</v>
      </c>
      <c r="L43" s="4"/>
      <c r="M43" t="s">
        <v>60</v>
      </c>
      <c r="N43" t="s">
        <v>2396</v>
      </c>
      <c r="O43" s="59" t="s">
        <v>145</v>
      </c>
      <c r="P43" t="s">
        <v>2515</v>
      </c>
      <c r="Q43" s="1" t="s">
        <v>2462</v>
      </c>
      <c r="R43" t="s">
        <v>2421</v>
      </c>
    </row>
    <row r="44" spans="1:19" ht="15" customHeight="1" x14ac:dyDescent="0.25">
      <c r="A44" t="s">
        <v>425</v>
      </c>
      <c r="B44" t="s">
        <v>42</v>
      </c>
      <c r="C44" s="3">
        <v>2021</v>
      </c>
      <c r="D44" t="s">
        <v>14</v>
      </c>
      <c r="E44" t="s">
        <v>2606</v>
      </c>
      <c r="F44" t="s">
        <v>44</v>
      </c>
      <c r="G44" s="18" t="s">
        <v>48</v>
      </c>
      <c r="H44" t="s">
        <v>45</v>
      </c>
      <c r="I44" t="s">
        <v>43</v>
      </c>
      <c r="J44" t="s">
        <v>46</v>
      </c>
      <c r="K44" t="s">
        <v>47</v>
      </c>
      <c r="M44" t="s">
        <v>43</v>
      </c>
      <c r="N44" t="s">
        <v>49</v>
      </c>
      <c r="O44" s="57" t="s">
        <v>50</v>
      </c>
      <c r="P44" t="s">
        <v>2551</v>
      </c>
      <c r="Q44" s="1" t="s">
        <v>2463</v>
      </c>
      <c r="R44" t="s">
        <v>2590</v>
      </c>
    </row>
    <row r="45" spans="1:19" ht="15" customHeight="1" x14ac:dyDescent="0.25">
      <c r="A45" t="s">
        <v>40</v>
      </c>
      <c r="B45" t="s">
        <v>318</v>
      </c>
      <c r="C45" s="3">
        <v>2022</v>
      </c>
      <c r="D45" t="s">
        <v>34</v>
      </c>
      <c r="E45" t="s">
        <v>377</v>
      </c>
      <c r="F45" t="s">
        <v>209</v>
      </c>
      <c r="G45" s="18" t="s">
        <v>321</v>
      </c>
      <c r="H45" t="s">
        <v>29</v>
      </c>
      <c r="I45" t="s">
        <v>2450</v>
      </c>
      <c r="J45" t="s">
        <v>320</v>
      </c>
      <c r="K45" t="s">
        <v>29</v>
      </c>
      <c r="M45" t="s">
        <v>2450</v>
      </c>
      <c r="N45" t="s">
        <v>2598</v>
      </c>
      <c r="O45" s="57" t="s">
        <v>322</v>
      </c>
      <c r="P45" t="s">
        <v>2493</v>
      </c>
      <c r="Q45" s="1" t="s">
        <v>2462</v>
      </c>
      <c r="R45" t="s">
        <v>73</v>
      </c>
    </row>
    <row r="46" spans="1:19" ht="15" customHeight="1" x14ac:dyDescent="0.25">
      <c r="A46" t="s">
        <v>371</v>
      </c>
      <c r="B46" t="s">
        <v>207</v>
      </c>
      <c r="C46" s="3">
        <v>2023</v>
      </c>
      <c r="D46" t="s">
        <v>14</v>
      </c>
      <c r="E46" t="s">
        <v>377</v>
      </c>
      <c r="F46" t="s">
        <v>209</v>
      </c>
      <c r="G46" s="18" t="s">
        <v>212</v>
      </c>
      <c r="H46" t="s">
        <v>210</v>
      </c>
      <c r="I46" t="s">
        <v>208</v>
      </c>
      <c r="J46" t="s">
        <v>211</v>
      </c>
      <c r="K46" t="s">
        <v>29</v>
      </c>
      <c r="M46" t="s">
        <v>208</v>
      </c>
      <c r="N46" t="s">
        <v>213</v>
      </c>
      <c r="O46" s="57" t="s">
        <v>214</v>
      </c>
      <c r="P46" t="s">
        <v>2507</v>
      </c>
      <c r="Q46" s="1" t="s">
        <v>2464</v>
      </c>
      <c r="R46" t="s">
        <v>215</v>
      </c>
    </row>
    <row r="47" spans="1:19" ht="15" customHeight="1" x14ac:dyDescent="0.25">
      <c r="A47" t="s">
        <v>40</v>
      </c>
      <c r="B47" t="s">
        <v>107</v>
      </c>
      <c r="C47" s="3">
        <v>2021</v>
      </c>
      <c r="D47" t="s">
        <v>34</v>
      </c>
      <c r="E47" t="s">
        <v>502</v>
      </c>
      <c r="F47" t="s">
        <v>109</v>
      </c>
      <c r="G47" s="18" t="s">
        <v>111</v>
      </c>
      <c r="H47" t="s">
        <v>29</v>
      </c>
      <c r="I47" t="s">
        <v>2461</v>
      </c>
      <c r="J47" t="s">
        <v>110</v>
      </c>
      <c r="K47" t="s">
        <v>29</v>
      </c>
      <c r="M47" t="s">
        <v>2461</v>
      </c>
      <c r="N47" t="s">
        <v>112</v>
      </c>
      <c r="O47" s="59" t="s">
        <v>113</v>
      </c>
      <c r="P47" t="s">
        <v>2510</v>
      </c>
      <c r="Q47" s="1" t="s">
        <v>2477</v>
      </c>
      <c r="R47" t="s">
        <v>73</v>
      </c>
    </row>
    <row r="48" spans="1:19" ht="15" customHeight="1" x14ac:dyDescent="0.25">
      <c r="A48" t="s">
        <v>425</v>
      </c>
      <c r="B48" t="s">
        <v>222</v>
      </c>
      <c r="C48" s="3">
        <v>2021</v>
      </c>
      <c r="D48" t="s">
        <v>14</v>
      </c>
      <c r="E48" t="s">
        <v>370</v>
      </c>
      <c r="F48" t="s">
        <v>224</v>
      </c>
      <c r="G48" s="18" t="s">
        <v>228</v>
      </c>
      <c r="H48" t="s">
        <v>225</v>
      </c>
      <c r="I48" t="s">
        <v>223</v>
      </c>
      <c r="J48" t="s">
        <v>226</v>
      </c>
      <c r="K48" t="s">
        <v>227</v>
      </c>
      <c r="M48" t="s">
        <v>223</v>
      </c>
      <c r="N48" t="s">
        <v>2596</v>
      </c>
      <c r="O48" s="57" t="s">
        <v>214</v>
      </c>
      <c r="P48" t="s">
        <v>2525</v>
      </c>
      <c r="Q48" s="1" t="s">
        <v>2473</v>
      </c>
      <c r="R48" t="s">
        <v>2425</v>
      </c>
      <c r="S48" t="s">
        <v>24</v>
      </c>
    </row>
    <row r="49" spans="1:18" ht="15" customHeight="1" x14ac:dyDescent="0.25">
      <c r="A49" s="39" t="s">
        <v>40</v>
      </c>
      <c r="B49" t="s">
        <v>74</v>
      </c>
      <c r="C49" s="3">
        <v>2022</v>
      </c>
      <c r="D49" t="s">
        <v>14</v>
      </c>
      <c r="E49" t="s">
        <v>503</v>
      </c>
      <c r="F49" t="s">
        <v>76</v>
      </c>
      <c r="G49" s="38" t="s">
        <v>78</v>
      </c>
      <c r="H49" t="s">
        <v>29</v>
      </c>
      <c r="I49" t="s">
        <v>2452</v>
      </c>
      <c r="J49" t="s">
        <v>77</v>
      </c>
      <c r="K49" t="s">
        <v>29</v>
      </c>
      <c r="L49" s="4"/>
      <c r="M49" t="s">
        <v>2452</v>
      </c>
      <c r="N49" t="s">
        <v>2398</v>
      </c>
      <c r="O49" s="62" t="s">
        <v>2399</v>
      </c>
      <c r="P49" t="s">
        <v>2528</v>
      </c>
      <c r="Q49" s="1" t="s">
        <v>2462</v>
      </c>
      <c r="R49" t="s">
        <v>73</v>
      </c>
    </row>
    <row r="50" spans="1:18" ht="15" customHeight="1" x14ac:dyDescent="0.25">
      <c r="A50" s="40" t="s">
        <v>40</v>
      </c>
      <c r="B50" s="40" t="s">
        <v>332</v>
      </c>
      <c r="C50" s="41">
        <v>2023</v>
      </c>
      <c r="D50" s="40" t="s">
        <v>14</v>
      </c>
      <c r="E50" s="40" t="s">
        <v>503</v>
      </c>
      <c r="F50" s="40" t="s">
        <v>76</v>
      </c>
      <c r="G50" s="42" t="s">
        <v>335</v>
      </c>
      <c r="H50" s="40" t="s">
        <v>29</v>
      </c>
      <c r="I50" s="40" t="s">
        <v>333</v>
      </c>
      <c r="J50" s="40" t="s">
        <v>334</v>
      </c>
      <c r="K50" s="40" t="s">
        <v>29</v>
      </c>
      <c r="L50" s="43"/>
      <c r="M50" s="40" t="s">
        <v>333</v>
      </c>
      <c r="N50" s="40" t="s">
        <v>2410</v>
      </c>
      <c r="O50" s="61" t="s">
        <v>2411</v>
      </c>
      <c r="P50" t="s">
        <v>2504</v>
      </c>
      <c r="Q50" s="50" t="s">
        <v>2462</v>
      </c>
      <c r="R50" t="s">
        <v>2429</v>
      </c>
    </row>
    <row r="51" spans="1:18" ht="15" customHeight="1" x14ac:dyDescent="0.25">
      <c r="A51" t="s">
        <v>425</v>
      </c>
      <c r="B51" t="s">
        <v>216</v>
      </c>
      <c r="C51" s="3">
        <v>2022</v>
      </c>
      <c r="D51" t="s">
        <v>14</v>
      </c>
      <c r="E51" t="s">
        <v>2608</v>
      </c>
      <c r="F51" t="s">
        <v>218</v>
      </c>
      <c r="G51" s="2" t="s">
        <v>2385</v>
      </c>
      <c r="H51" t="s">
        <v>219</v>
      </c>
      <c r="I51" t="s">
        <v>217</v>
      </c>
      <c r="J51" t="s">
        <v>220</v>
      </c>
      <c r="K51" t="s">
        <v>221</v>
      </c>
      <c r="L51" s="4"/>
      <c r="M51" t="s">
        <v>217</v>
      </c>
      <c r="N51" t="s">
        <v>2400</v>
      </c>
      <c r="O51" s="59" t="s">
        <v>113</v>
      </c>
      <c r="P51" t="s">
        <v>2494</v>
      </c>
      <c r="Q51" s="1" t="s">
        <v>2475</v>
      </c>
      <c r="R51" t="s">
        <v>73</v>
      </c>
    </row>
    <row r="52" spans="1:18" ht="15" customHeight="1" x14ac:dyDescent="0.25">
      <c r="A52" t="s">
        <v>371</v>
      </c>
      <c r="B52" t="s">
        <v>266</v>
      </c>
      <c r="C52" s="3">
        <v>2023</v>
      </c>
      <c r="D52" t="s">
        <v>14</v>
      </c>
      <c r="E52" t="s">
        <v>377</v>
      </c>
      <c r="F52" t="s">
        <v>268</v>
      </c>
      <c r="G52" s="18" t="s">
        <v>272</v>
      </c>
      <c r="H52" t="s">
        <v>269</v>
      </c>
      <c r="I52" t="s">
        <v>267</v>
      </c>
      <c r="J52" t="s">
        <v>270</v>
      </c>
      <c r="K52" t="s">
        <v>271</v>
      </c>
      <c r="M52" t="s">
        <v>267</v>
      </c>
      <c r="N52" t="s">
        <v>273</v>
      </c>
      <c r="O52" s="59" t="s">
        <v>113</v>
      </c>
      <c r="P52" s="80" t="s">
        <v>2521</v>
      </c>
      <c r="Q52" s="1" t="s">
        <v>2476</v>
      </c>
      <c r="R52" t="s">
        <v>2432</v>
      </c>
    </row>
    <row r="60" spans="1:18" ht="15" customHeight="1" x14ac:dyDescent="0.25">
      <c r="I60" s="37" t="s">
        <v>734</v>
      </c>
    </row>
    <row r="61" spans="1:18" ht="15" customHeight="1" x14ac:dyDescent="0.25">
      <c r="I61" s="37" t="s">
        <v>771</v>
      </c>
    </row>
    <row r="62" spans="1:18" ht="15" customHeight="1" x14ac:dyDescent="0.25">
      <c r="I62" s="37" t="s">
        <v>855</v>
      </c>
    </row>
    <row r="63" spans="1:18" ht="15" customHeight="1" x14ac:dyDescent="0.25">
      <c r="I63" s="37" t="s">
        <v>876</v>
      </c>
    </row>
    <row r="64" spans="1:18" ht="15" customHeight="1" x14ac:dyDescent="0.25">
      <c r="I64" s="37" t="s">
        <v>965</v>
      </c>
    </row>
  </sheetData>
  <hyperlinks>
    <hyperlink ref="G9" r:id="rId1" xr:uid="{639072ED-903D-4C9A-BFD5-9A058EEFEF3D}"/>
    <hyperlink ref="G22" r:id="rId2" xr:uid="{F984EE4F-1D8B-48CF-8762-5C191DB0082C}"/>
    <hyperlink ref="G19" r:id="rId3" xr:uid="{792D7BE6-C950-4771-8BE0-3228FF7C0B6B}"/>
    <hyperlink ref="G20" r:id="rId4" xr:uid="{97C905B5-7221-4CA4-BDEA-8E9AA2E2D8CF}"/>
    <hyperlink ref="G49" r:id="rId5" xr:uid="{4A149CFB-DB18-4277-B7F7-0EF121A00A7B}"/>
    <hyperlink ref="G41" r:id="rId6" xr:uid="{C5DEB8BB-B1F0-4B65-8FFD-8557C6F5DF25}"/>
    <hyperlink ref="G46" r:id="rId7" xr:uid="{0A63716A-81EB-4AAA-BB95-9200ECCD12D3}"/>
    <hyperlink ref="G40" r:id="rId8" xr:uid="{3D551941-BA5B-4A15-BCC8-86A044D51640}"/>
    <hyperlink ref="G8" r:id="rId9" xr:uid="{4D1D094E-E86E-4D53-8517-2405FF01DD36}"/>
    <hyperlink ref="G39" r:id="rId10" xr:uid="{92F4C8DD-CA1E-447B-8578-040EB7143FD4}"/>
    <hyperlink ref="G26" r:id="rId11" xr:uid="{121DECAC-281E-4253-9A43-9FC01CCD2AEF}"/>
    <hyperlink ref="G47" r:id="rId12" xr:uid="{0D7DB1F8-3A54-45A7-8DA2-B6C262C36CDA}"/>
    <hyperlink ref="G2" r:id="rId13" xr:uid="{F9CC6B3D-7B82-44FE-B3F0-F1E23BCB14E8}"/>
    <hyperlink ref="G6" r:id="rId14" xr:uid="{F0FCFD98-8748-4F1C-97FD-8A10297F98B6}"/>
    <hyperlink ref="G17" r:id="rId15" xr:uid="{2915A3B8-CA8C-4534-8968-35E6608E3253}"/>
    <hyperlink ref="G23" r:id="rId16" xr:uid="{F2F7CA68-D2F5-4568-B008-625C299F1A5A}"/>
    <hyperlink ref="G14" r:id="rId17" xr:uid="{F2304197-4FEE-4455-9D4F-86124728E257}"/>
    <hyperlink ref="G5" r:id="rId18" xr:uid="{D0C65785-1E7A-4885-9B28-876B176DCBA5}"/>
    <hyperlink ref="G12" r:id="rId19" xr:uid="{80FDD6C0-A28B-4497-A7CE-DB7199A61F93}"/>
    <hyperlink ref="G38" r:id="rId20" xr:uid="{2C582548-74F6-416F-B51C-AADD8FA04DC4}"/>
    <hyperlink ref="G27" r:id="rId21" xr:uid="{86194895-0167-4E84-ACF0-B65CE91D40F3}"/>
    <hyperlink ref="G4" r:id="rId22" xr:uid="{7910A928-5B0A-4FEC-AB72-01A01F40BE40}"/>
    <hyperlink ref="G50" r:id="rId23" xr:uid="{2FC92F9F-60B6-47AE-8BB5-720008A1E810}"/>
    <hyperlink ref="G45" r:id="rId24" xr:uid="{4FCE9730-11BB-4573-A1DC-8051FEA9F45F}"/>
    <hyperlink ref="J38" r:id="rId25" xr:uid="{7209B288-0539-4538-8F16-7ABA77B3A586}"/>
    <hyperlink ref="O22" r:id="rId26" xr:uid="{51A50CE6-F8AF-4C04-9594-1EF2B3762276}"/>
    <hyperlink ref="O19" r:id="rId27" xr:uid="{F2494F45-1D64-42F3-A1AC-1868467F8714}"/>
    <hyperlink ref="O9" r:id="rId28" xr:uid="{B9C2D6C8-4B19-4821-A656-471D69582C93}"/>
    <hyperlink ref="O20" r:id="rId29" xr:uid="{5FF6DCF3-22AC-4C95-B456-F864C9C31A5C}"/>
    <hyperlink ref="O41" r:id="rId30" xr:uid="{C07122C8-3C7B-441C-8296-415F926DD2BD}"/>
    <hyperlink ref="O14" r:id="rId31" xr:uid="{82A760EE-CA79-4035-9E30-783A75C014F6}"/>
    <hyperlink ref="O26" r:id="rId32" xr:uid="{182768F1-01E3-4AF7-8C22-90D600C5518F}"/>
    <hyperlink ref="G31" r:id="rId33" xr:uid="{29B4EA6A-5873-430D-B1E8-B062E03B48AE}"/>
    <hyperlink ref="O46" r:id="rId34" xr:uid="{7F41675F-2C62-4C6F-88D6-F5247BE48EA5}"/>
    <hyperlink ref="O40" r:id="rId35" xr:uid="{47988690-AF9E-478F-975E-43BF3A80C354}"/>
    <hyperlink ref="O39" r:id="rId36" xr:uid="{FC6A8AEE-4908-47A3-8E24-BC75C5834166}"/>
    <hyperlink ref="O38" r:id="rId37" xr:uid="{5AD92386-ACD2-4C13-B1E5-1CEF84D658AF}"/>
    <hyperlink ref="O8" r:id="rId38" xr:uid="{5E8CBD4C-A581-4E4C-99A0-C8B64B324938}"/>
    <hyperlink ref="O27" r:id="rId39" xr:uid="{E33F89A9-241F-4CBC-A661-29BE81A42BB6}"/>
    <hyperlink ref="O45" r:id="rId40" xr:uid="{D1692F1B-2FE3-464F-A0D3-DAFB8C854F65}"/>
    <hyperlink ref="G34" r:id="rId41" xr:uid="{CE9C4CA9-0144-4A91-9D34-0F9B87A9157A}"/>
    <hyperlink ref="O34" r:id="rId42" xr:uid="{BA59A539-BD36-4F98-BD54-45EB72CD521C}"/>
    <hyperlink ref="G44" r:id="rId43" xr:uid="{B96A4CD8-877F-4EBA-A24C-5DB9BF2F0E2E}"/>
    <hyperlink ref="O44" r:id="rId44" display="https://paperswithcode.com/dataset/sipakmed" xr:uid="{AE204E19-E80E-49F8-9CB5-595BB8B3AFE1}"/>
    <hyperlink ref="G43" r:id="rId45" xr:uid="{87626A5B-CE03-413B-AF6E-D9F30574AAB6}"/>
    <hyperlink ref="G25" r:id="rId46" xr:uid="{EBE136CC-0D9D-48D6-A445-F063A76CD2F9}"/>
    <hyperlink ref="O25" r:id="rId47" xr:uid="{B8B777F0-9AAA-48F9-8BFB-53648480A321}"/>
    <hyperlink ref="G32" r:id="rId48" xr:uid="{0D6A57F7-BF4C-43F7-8451-95D2BFBACFF1}"/>
    <hyperlink ref="O32" r:id="rId49" xr:uid="{192B8099-DB84-4D37-9C8E-DA3EB08FB0C7}"/>
    <hyperlink ref="G29" r:id="rId50" xr:uid="{B3408CA0-AFB3-4FC4-9BDE-2CA2B8C3D5CA}"/>
    <hyperlink ref="O29" r:id="rId51" xr:uid="{95F889C8-5B4A-4D76-9707-B7885922C6DF}"/>
    <hyperlink ref="G35" r:id="rId52" xr:uid="{82BD7902-A769-49C0-A350-D9B48ACAC52E}"/>
    <hyperlink ref="G10" r:id="rId53" xr:uid="{72F5B179-19C9-480C-9DD6-05F5DBCF343D}"/>
    <hyperlink ref="O10" r:id="rId54" xr:uid="{08C78587-268D-4D56-BE28-074D561FE854}"/>
    <hyperlink ref="G11" r:id="rId55" xr:uid="{567C3F81-A86C-4CA3-9DC4-ED89BE301F99}"/>
    <hyperlink ref="O11" r:id="rId56" xr:uid="{233876A8-8F89-4D9B-A93B-B0C69C4A7C0D}"/>
    <hyperlink ref="G36" r:id="rId57" xr:uid="{D3221457-AE79-498D-AFF3-C880AB93EA34}"/>
    <hyperlink ref="G48" r:id="rId58" xr:uid="{0DE506B0-BC1F-4B3E-B9FA-06FADFF25F2D}"/>
    <hyperlink ref="O48" r:id="rId59" xr:uid="{4668A592-B727-4825-B03E-433D3D860D97}"/>
    <hyperlink ref="G7" r:id="rId60" xr:uid="{C719BED8-D226-426D-8AC5-F1FE7F32351C}"/>
    <hyperlink ref="G42" r:id="rId61" xr:uid="{578B1FEE-DC51-4942-81CA-353BABBD7291}"/>
    <hyperlink ref="O42" r:id="rId62" xr:uid="{30952958-C55F-4F34-B9D7-4D0C5C301AFA}"/>
    <hyperlink ref="G16" r:id="rId63" xr:uid="{93DCA4E7-157D-451A-BD0B-82D9177932F6}"/>
    <hyperlink ref="G52" r:id="rId64" xr:uid="{D80866EA-40DA-4497-A593-083223116065}"/>
    <hyperlink ref="G18" r:id="rId65" xr:uid="{E3577562-8C3E-46BB-A1A1-8F9013CCB76F}"/>
    <hyperlink ref="G13" r:id="rId66" xr:uid="{4454B7DB-48DC-480E-9904-383DEF8DB4E2}"/>
    <hyperlink ref="O13" r:id="rId67" xr:uid="{25C677A2-DC5E-450A-A781-54E375E47656}"/>
    <hyperlink ref="G3" r:id="rId68" xr:uid="{BEFABCD5-0240-4BE0-86F5-3894C27C6600}"/>
    <hyperlink ref="O3" r:id="rId69" xr:uid="{074B3939-5D1D-4D07-9ACB-9889E818A3E2}"/>
    <hyperlink ref="G51" r:id="rId70" xr:uid="{EE67C0C1-084F-40BB-B308-EA98ACEB5EE9}"/>
    <hyperlink ref="G28" r:id="rId71" xr:uid="{7257F72A-0D4F-40B2-A25B-3FD3FAF5263C}"/>
    <hyperlink ref="G30" r:id="rId72" xr:uid="{47EB2FF9-3B9C-4C33-BBA2-57C681AEC7D2}"/>
    <hyperlink ref="O49" r:id="rId73" xr:uid="{2AE4C3D4-CB78-4E56-BECD-60056501551B}"/>
    <hyperlink ref="O23" r:id="rId74" xr:uid="{6A7F4244-7D25-48CF-A212-696658C94C5F}"/>
    <hyperlink ref="O28" r:id="rId75" xr:uid="{AE0BD3CE-776B-4A3C-AB13-13B7C7CDB8D4}"/>
    <hyperlink ref="O30" r:id="rId76" xr:uid="{F91212C2-9843-4855-99EF-59ACDEB84426}"/>
    <hyperlink ref="G33" r:id="rId77" xr:uid="{A97C8155-ECAC-4ECC-BA65-E9A8C6FD220C}"/>
    <hyperlink ref="O33" r:id="rId78" xr:uid="{19A01E38-A9FC-4643-866B-D833E17917CC}"/>
    <hyperlink ref="O4" r:id="rId79" xr:uid="{FBAEE700-7AEC-49C5-AE5A-965C99B501E5}"/>
    <hyperlink ref="O50" r:id="rId80" display="https://github.com/pratikkayal/PlantDoc-Dataset" xr:uid="{244F17A2-B9A9-4B32-B129-0F63D00E5C89}"/>
    <hyperlink ref="G15" r:id="rId81" xr:uid="{1502A640-46EB-45E9-8AC3-D8065998AA04}"/>
    <hyperlink ref="O15" r:id="rId82" xr:uid="{1C9F57B4-5A23-4219-A45C-701180FFA5D0}"/>
    <hyperlink ref="G37" r:id="rId83" xr:uid="{79ED763E-9E60-4F21-A83B-A38DB3C4A770}"/>
    <hyperlink ref="J37" r:id="rId84" display="https://doi.org/10.1109/IGARSS52108.2023.10282341" xr:uid="{40B68DFA-F8E1-45A3-8CF9-7E1F39B9E78B}"/>
    <hyperlink ref="G24" r:id="rId85" xr:uid="{3E1D6F2B-CDBA-42B8-8D8F-DE449CBEC261}"/>
    <hyperlink ref="O24" r:id="rId86" xr:uid="{029B88FB-745D-4CED-9CB8-4E691633E28D}"/>
  </hyperlinks>
  <pageMargins left="0.7" right="0.7" top="0.75" bottom="0.75" header="0.3" footer="0.3"/>
  <pageSetup paperSize="9" orientation="portrait" r:id="rId87"/>
  <tableParts count="1">
    <tablePart r:id="rId8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63D8C-FFF1-4FB7-8BBC-F59BB0F3C12A}">
  <sheetPr codeName="Sheet8">
    <tabColor theme="4" tint="-0.249977111117893"/>
  </sheetPr>
  <dimension ref="A1:T142"/>
  <sheetViews>
    <sheetView topLeftCell="P1" workbookViewId="0">
      <pane ySplit="1" topLeftCell="A114" activePane="bottomLeft" state="frozen"/>
      <selection pane="bottomLeft" activeCell="S2" sqref="S2:S142"/>
    </sheetView>
  </sheetViews>
  <sheetFormatPr defaultRowHeight="15" customHeight="1" x14ac:dyDescent="0.25"/>
  <cols>
    <col min="1" max="1" width="19.28515625" style="1" customWidth="1"/>
    <col min="2" max="2" width="17" style="1" customWidth="1"/>
    <col min="3" max="3" width="11" style="1" customWidth="1"/>
    <col min="4" max="4" width="7.140625" style="1" customWidth="1"/>
    <col min="5" max="5" width="112.85546875" style="1" customWidth="1"/>
    <col min="6" max="6" width="17.28515625" style="1" customWidth="1"/>
    <col min="7" max="7" width="10.140625" style="1" customWidth="1"/>
    <col min="8" max="8" width="10.42578125" style="1" customWidth="1"/>
    <col min="9" max="9" width="8.28515625" style="1" customWidth="1"/>
    <col min="10" max="10" width="11.5703125" style="1" customWidth="1"/>
    <col min="11" max="11" width="17.140625" style="1" customWidth="1"/>
    <col min="12" max="12" width="6.5703125" style="1" customWidth="1"/>
    <col min="13" max="13" width="6.42578125" style="1" customWidth="1"/>
    <col min="14" max="14" width="11.85546875" style="1" customWidth="1"/>
    <col min="15" max="15" width="86.7109375" style="1" customWidth="1"/>
    <col min="16" max="16" width="22.28515625" style="3" customWidth="1"/>
    <col min="17" max="17" width="26.42578125" style="3" customWidth="1"/>
    <col min="18" max="18" width="22" style="3" customWidth="1"/>
    <col min="19" max="19" width="19.42578125" style="3" customWidth="1"/>
    <col min="20" max="20" width="11.7109375" style="3" customWidth="1"/>
  </cols>
  <sheetData>
    <row r="1" spans="1:20" ht="15" customHeight="1" x14ac:dyDescent="0.25">
      <c r="A1" s="21" t="s">
        <v>358</v>
      </c>
      <c r="B1" s="19" t="s">
        <v>359</v>
      </c>
      <c r="C1" s="19" t="s">
        <v>360</v>
      </c>
      <c r="D1" s="22" t="s">
        <v>2</v>
      </c>
      <c r="E1" s="19" t="s">
        <v>3</v>
      </c>
      <c r="F1" s="23" t="s">
        <v>361</v>
      </c>
      <c r="G1" s="19" t="s">
        <v>362</v>
      </c>
      <c r="H1" s="19" t="s">
        <v>363</v>
      </c>
      <c r="I1" s="23" t="s">
        <v>364</v>
      </c>
      <c r="J1" s="19" t="s">
        <v>365</v>
      </c>
      <c r="K1" s="19" t="s">
        <v>366</v>
      </c>
      <c r="L1" s="19" t="s">
        <v>367</v>
      </c>
      <c r="M1" s="19" t="s">
        <v>6</v>
      </c>
      <c r="N1" s="19" t="s">
        <v>368</v>
      </c>
      <c r="O1" s="19" t="s">
        <v>369</v>
      </c>
      <c r="P1" s="26" t="s">
        <v>2381</v>
      </c>
      <c r="Q1" s="26" t="s">
        <v>2382</v>
      </c>
      <c r="R1" s="26" t="s">
        <v>2379</v>
      </c>
      <c r="S1" s="26" t="s">
        <v>2380</v>
      </c>
      <c r="T1" s="20" t="s">
        <v>2376</v>
      </c>
    </row>
    <row r="2" spans="1:20" ht="15" customHeight="1" x14ac:dyDescent="0.25">
      <c r="A2" s="1" t="s">
        <v>378</v>
      </c>
      <c r="B2" s="1" t="s">
        <v>34</v>
      </c>
      <c r="C2" s="1" t="s">
        <v>35</v>
      </c>
      <c r="D2" s="1">
        <v>2023</v>
      </c>
      <c r="E2" s="1" t="s">
        <v>36</v>
      </c>
      <c r="F2" s="1" t="s">
        <v>548</v>
      </c>
      <c r="I2" s="24">
        <v>45413</v>
      </c>
      <c r="M2" s="1" t="s">
        <v>38</v>
      </c>
      <c r="N2" s="1" t="s">
        <v>549</v>
      </c>
      <c r="O2" s="1" t="s">
        <v>550</v>
      </c>
      <c r="P2" s="3">
        <v>1</v>
      </c>
      <c r="Q2" s="3">
        <v>1</v>
      </c>
      <c r="R2" s="3">
        <v>0.5</v>
      </c>
      <c r="S2" s="3">
        <v>1</v>
      </c>
      <c r="T2" s="3">
        <f>SUM(Table145[[#This Row],[Relevence 0,1,0.5]:[Findings 0,1,0.5]])</f>
        <v>3.5</v>
      </c>
    </row>
    <row r="3" spans="1:20" ht="15" customHeight="1" x14ac:dyDescent="0.25">
      <c r="A3" s="1" t="s">
        <v>378</v>
      </c>
      <c r="B3" s="1" t="s">
        <v>34</v>
      </c>
      <c r="C3" s="1" t="s">
        <v>385</v>
      </c>
      <c r="D3" s="1">
        <v>2023</v>
      </c>
      <c r="E3" s="1" t="s">
        <v>386</v>
      </c>
      <c r="F3" s="1" t="s">
        <v>387</v>
      </c>
      <c r="I3" s="1" t="s">
        <v>388</v>
      </c>
      <c r="M3" s="1" t="s">
        <v>389</v>
      </c>
      <c r="N3" s="1" t="s">
        <v>561</v>
      </c>
      <c r="O3" s="1" t="s">
        <v>390</v>
      </c>
      <c r="P3" s="3">
        <v>0</v>
      </c>
      <c r="Q3" s="3">
        <v>0</v>
      </c>
      <c r="R3" s="3">
        <v>0.5</v>
      </c>
      <c r="S3" s="3">
        <v>1</v>
      </c>
      <c r="T3" s="3">
        <f>SUM(Table145[[#This Row],[Relevence 0,1,0.5]:[Findings 0,1,0.5]])</f>
        <v>1.5</v>
      </c>
    </row>
    <row r="4" spans="1:20" ht="15" customHeight="1" x14ac:dyDescent="0.25">
      <c r="A4" s="1" t="s">
        <v>378</v>
      </c>
      <c r="B4" s="1" t="s">
        <v>34</v>
      </c>
      <c r="C4" s="1" t="s">
        <v>86</v>
      </c>
      <c r="D4" s="1">
        <v>2020</v>
      </c>
      <c r="E4" s="1" t="s">
        <v>87</v>
      </c>
      <c r="F4" s="1" t="s">
        <v>588</v>
      </c>
      <c r="I4" s="24">
        <v>45413</v>
      </c>
      <c r="M4" s="1" t="s">
        <v>89</v>
      </c>
      <c r="N4" s="1" t="s">
        <v>589</v>
      </c>
      <c r="O4" s="1" t="s">
        <v>590</v>
      </c>
      <c r="P4" s="3">
        <v>1</v>
      </c>
      <c r="Q4" s="3">
        <v>1</v>
      </c>
      <c r="R4" s="3">
        <v>1</v>
      </c>
      <c r="S4" s="3">
        <v>1</v>
      </c>
      <c r="T4" s="3">
        <f>SUM(Table145[[#This Row],[Relevence 0,1,0.5]:[Findings 0,1,0.5]])</f>
        <v>4</v>
      </c>
    </row>
    <row r="5" spans="1:20" ht="15" customHeight="1" x14ac:dyDescent="0.25">
      <c r="A5" s="1" t="s">
        <v>378</v>
      </c>
      <c r="B5" s="1" t="s">
        <v>34</v>
      </c>
      <c r="C5" s="1" t="s">
        <v>92</v>
      </c>
      <c r="D5" s="1">
        <v>2023</v>
      </c>
      <c r="E5" s="1" t="s">
        <v>93</v>
      </c>
      <c r="F5" s="1" t="s">
        <v>591</v>
      </c>
      <c r="I5" s="1" t="s">
        <v>592</v>
      </c>
      <c r="M5" s="1" t="s">
        <v>95</v>
      </c>
      <c r="N5" s="1" t="s">
        <v>593</v>
      </c>
      <c r="O5" s="1" t="s">
        <v>594</v>
      </c>
      <c r="P5" s="3">
        <v>1</v>
      </c>
      <c r="Q5" s="3">
        <v>1</v>
      </c>
      <c r="R5" s="3">
        <v>0.5</v>
      </c>
      <c r="S5" s="3">
        <v>1</v>
      </c>
      <c r="T5" s="3">
        <f>SUM(Table145[[#This Row],[Relevence 0,1,0.5]:[Findings 0,1,0.5]])</f>
        <v>3.5</v>
      </c>
    </row>
    <row r="6" spans="1:20" ht="15" customHeight="1" x14ac:dyDescent="0.25">
      <c r="A6" s="1" t="s">
        <v>378</v>
      </c>
      <c r="B6" s="1" t="s">
        <v>34</v>
      </c>
      <c r="C6" s="1" t="s">
        <v>609</v>
      </c>
      <c r="D6" s="1">
        <v>2023</v>
      </c>
      <c r="E6" s="1" t="s">
        <v>613</v>
      </c>
      <c r="F6" s="1" t="s">
        <v>610</v>
      </c>
      <c r="I6" s="24">
        <v>45444</v>
      </c>
      <c r="M6" s="1" t="s">
        <v>612</v>
      </c>
      <c r="N6" s="1" t="s">
        <v>611</v>
      </c>
      <c r="O6" s="1" t="s">
        <v>614</v>
      </c>
      <c r="P6" s="3">
        <v>0</v>
      </c>
      <c r="Q6" s="3">
        <v>1</v>
      </c>
      <c r="R6" s="3">
        <v>0.5</v>
      </c>
      <c r="S6" s="3">
        <v>0.5</v>
      </c>
      <c r="T6" s="3">
        <f>SUM(Table145[[#This Row],[Relevence 0,1,0.5]:[Findings 0,1,0.5]])</f>
        <v>2</v>
      </c>
    </row>
    <row r="7" spans="1:20" ht="15" customHeight="1" x14ac:dyDescent="0.25">
      <c r="A7" s="1" t="s">
        <v>378</v>
      </c>
      <c r="B7" s="1" t="s">
        <v>34</v>
      </c>
      <c r="C7" s="1" t="s">
        <v>394</v>
      </c>
      <c r="D7" s="1">
        <v>2022</v>
      </c>
      <c r="E7" s="1" t="s">
        <v>395</v>
      </c>
      <c r="F7" s="1" t="s">
        <v>396</v>
      </c>
      <c r="I7" s="1" t="s">
        <v>397</v>
      </c>
      <c r="M7" s="1" t="s">
        <v>398</v>
      </c>
      <c r="N7" s="1" t="s">
        <v>624</v>
      </c>
      <c r="O7" s="1" t="s">
        <v>399</v>
      </c>
      <c r="P7" s="3">
        <v>0</v>
      </c>
      <c r="Q7" s="3">
        <v>1</v>
      </c>
      <c r="R7" s="3">
        <v>0.5</v>
      </c>
      <c r="S7" s="3">
        <v>0.5</v>
      </c>
      <c r="T7" s="3">
        <f>SUM(Table145[[#This Row],[Relevence 0,1,0.5]:[Findings 0,1,0.5]])</f>
        <v>2</v>
      </c>
    </row>
    <row r="8" spans="1:20" ht="15" customHeight="1" x14ac:dyDescent="0.25">
      <c r="A8" s="1" t="s">
        <v>378</v>
      </c>
      <c r="B8" s="1" t="s">
        <v>34</v>
      </c>
      <c r="C8" s="1" t="s">
        <v>162</v>
      </c>
      <c r="D8" s="1">
        <v>2021</v>
      </c>
      <c r="E8" s="1" t="s">
        <v>163</v>
      </c>
      <c r="F8" s="1" t="s">
        <v>657</v>
      </c>
      <c r="I8" s="1" t="s">
        <v>658</v>
      </c>
      <c r="M8" s="1" t="s">
        <v>165</v>
      </c>
      <c r="N8" s="1" t="s">
        <v>659</v>
      </c>
      <c r="O8" s="1" t="s">
        <v>660</v>
      </c>
      <c r="P8" s="3">
        <v>1</v>
      </c>
      <c r="Q8" s="3">
        <v>1</v>
      </c>
      <c r="R8" s="3">
        <v>1</v>
      </c>
      <c r="S8" s="3">
        <v>1</v>
      </c>
      <c r="T8" s="3">
        <f>SUM(Table145[[#This Row],[Relevence 0,1,0.5]:[Findings 0,1,0.5]])</f>
        <v>4</v>
      </c>
    </row>
    <row r="9" spans="1:20" ht="15" customHeight="1" x14ac:dyDescent="0.25">
      <c r="A9" s="1" t="s">
        <v>378</v>
      </c>
      <c r="B9" s="1" t="s">
        <v>34</v>
      </c>
      <c r="C9" s="1" t="s">
        <v>174</v>
      </c>
      <c r="D9" s="1">
        <v>2022</v>
      </c>
      <c r="E9" s="1" t="s">
        <v>175</v>
      </c>
      <c r="F9" s="1" t="s">
        <v>176</v>
      </c>
      <c r="I9" s="1" t="s">
        <v>712</v>
      </c>
      <c r="M9" s="1" t="s">
        <v>178</v>
      </c>
      <c r="N9" s="1" t="s">
        <v>713</v>
      </c>
      <c r="O9" s="1" t="s">
        <v>714</v>
      </c>
      <c r="P9" s="3">
        <v>1</v>
      </c>
      <c r="Q9" s="3">
        <v>1</v>
      </c>
      <c r="R9" s="3">
        <v>1</v>
      </c>
      <c r="S9" s="3">
        <v>1</v>
      </c>
      <c r="T9" s="3">
        <f>SUM(Table145[[#This Row],[Relevence 0,1,0.5]:[Findings 0,1,0.5]])</f>
        <v>4</v>
      </c>
    </row>
    <row r="10" spans="1:20" ht="15" customHeight="1" x14ac:dyDescent="0.25">
      <c r="A10" s="1" t="s">
        <v>378</v>
      </c>
      <c r="B10" s="1" t="s">
        <v>14</v>
      </c>
      <c r="C10" s="1" t="s">
        <v>715</v>
      </c>
      <c r="D10" s="1">
        <v>2024</v>
      </c>
      <c r="E10" s="1" t="s">
        <v>719</v>
      </c>
      <c r="F10" s="1" t="s">
        <v>409</v>
      </c>
      <c r="G10" s="1">
        <v>24</v>
      </c>
      <c r="H10" s="1">
        <v>1</v>
      </c>
      <c r="I10" s="1" t="s">
        <v>716</v>
      </c>
      <c r="M10" s="1" t="s">
        <v>718</v>
      </c>
      <c r="N10" s="1" t="s">
        <v>717</v>
      </c>
      <c r="O10" s="1" t="s">
        <v>720</v>
      </c>
      <c r="P10" s="3">
        <v>0</v>
      </c>
      <c r="Q10" s="3">
        <v>0</v>
      </c>
      <c r="R10" s="3">
        <v>0.5</v>
      </c>
      <c r="S10" s="3">
        <v>1</v>
      </c>
      <c r="T10" s="3">
        <f>SUM(Table145[[#This Row],[Relevence 0,1,0.5]:[Findings 0,1,0.5]])</f>
        <v>1.5</v>
      </c>
    </row>
    <row r="11" spans="1:20" ht="15" customHeight="1" x14ac:dyDescent="0.25">
      <c r="A11" s="1" t="s">
        <v>378</v>
      </c>
      <c r="B11" s="1" t="s">
        <v>34</v>
      </c>
      <c r="C11" s="1" t="s">
        <v>187</v>
      </c>
      <c r="D11" s="1">
        <v>2023</v>
      </c>
      <c r="E11" s="1" t="s">
        <v>188</v>
      </c>
      <c r="F11" s="1" t="s">
        <v>543</v>
      </c>
      <c r="I11" s="24">
        <v>45444</v>
      </c>
      <c r="M11" s="1" t="s">
        <v>190</v>
      </c>
      <c r="N11" s="1" t="s">
        <v>729</v>
      </c>
      <c r="O11" s="1" t="s">
        <v>730</v>
      </c>
      <c r="P11" s="3">
        <v>1</v>
      </c>
      <c r="Q11" s="3">
        <v>1</v>
      </c>
      <c r="R11" s="3">
        <v>1</v>
      </c>
      <c r="S11" s="3">
        <v>1</v>
      </c>
      <c r="T11" s="3">
        <f>SUM(Table145[[#This Row],[Relevence 0,1,0.5]:[Findings 0,1,0.5]])</f>
        <v>4</v>
      </c>
    </row>
    <row r="12" spans="1:20" ht="15" customHeight="1" x14ac:dyDescent="0.25">
      <c r="A12" s="1" t="s">
        <v>378</v>
      </c>
      <c r="B12" s="1" t="s">
        <v>34</v>
      </c>
      <c r="C12" s="1" t="s">
        <v>731</v>
      </c>
      <c r="D12" s="1">
        <v>2022</v>
      </c>
      <c r="E12" s="1" t="s">
        <v>734</v>
      </c>
      <c r="F12" s="1" t="s">
        <v>381</v>
      </c>
      <c r="I12" s="24">
        <v>45413</v>
      </c>
      <c r="M12" s="1" t="s">
        <v>733</v>
      </c>
      <c r="N12" s="1" t="s">
        <v>732</v>
      </c>
      <c r="O12" s="1" t="s">
        <v>735</v>
      </c>
      <c r="P12" s="3">
        <v>0</v>
      </c>
      <c r="Q12" s="3">
        <v>1</v>
      </c>
      <c r="R12" s="3">
        <v>0.5</v>
      </c>
      <c r="S12" s="3">
        <v>0.5</v>
      </c>
      <c r="T12" s="3">
        <f>SUM(Table145[[#This Row],[Relevence 0,1,0.5]:[Findings 0,1,0.5]])</f>
        <v>2</v>
      </c>
    </row>
    <row r="13" spans="1:20" ht="15" customHeight="1" x14ac:dyDescent="0.25">
      <c r="A13" s="1" t="s">
        <v>378</v>
      </c>
      <c r="B13" s="1" t="s">
        <v>34</v>
      </c>
      <c r="C13" s="1" t="s">
        <v>192</v>
      </c>
      <c r="D13" s="1">
        <v>2022</v>
      </c>
      <c r="E13" s="1" t="s">
        <v>193</v>
      </c>
      <c r="F13" s="1" t="s">
        <v>194</v>
      </c>
      <c r="I13" s="1" t="s">
        <v>748</v>
      </c>
      <c r="M13" s="1" t="s">
        <v>196</v>
      </c>
      <c r="N13" s="1" t="s">
        <v>749</v>
      </c>
      <c r="O13" s="1" t="s">
        <v>750</v>
      </c>
      <c r="P13" s="3">
        <v>1</v>
      </c>
      <c r="Q13" s="3">
        <v>1</v>
      </c>
      <c r="R13" s="3">
        <v>1</v>
      </c>
      <c r="S13" s="3">
        <v>1</v>
      </c>
      <c r="T13" s="3">
        <f>SUM(Table145[[#This Row],[Relevence 0,1,0.5]:[Findings 0,1,0.5]])</f>
        <v>4</v>
      </c>
    </row>
    <row r="14" spans="1:20" ht="15" customHeight="1" x14ac:dyDescent="0.25">
      <c r="A14" s="1" t="s">
        <v>378</v>
      </c>
      <c r="B14" s="1" t="s">
        <v>34</v>
      </c>
      <c r="C14" s="1" t="s">
        <v>243</v>
      </c>
      <c r="D14" s="1">
        <v>2021</v>
      </c>
      <c r="E14" s="1" t="s">
        <v>244</v>
      </c>
      <c r="F14" s="1" t="s">
        <v>245</v>
      </c>
      <c r="I14" s="1" t="s">
        <v>762</v>
      </c>
      <c r="M14" s="1" t="s">
        <v>247</v>
      </c>
      <c r="N14" s="1" t="s">
        <v>763</v>
      </c>
      <c r="O14" s="1" t="s">
        <v>764</v>
      </c>
      <c r="P14" s="3">
        <v>1</v>
      </c>
      <c r="Q14" s="3">
        <v>1</v>
      </c>
      <c r="R14" s="3">
        <v>0.5</v>
      </c>
      <c r="S14" s="3">
        <v>1</v>
      </c>
      <c r="T14" s="3">
        <f>SUM(Table145[[#This Row],[Relevence 0,1,0.5]:[Findings 0,1,0.5]])</f>
        <v>3.5</v>
      </c>
    </row>
    <row r="15" spans="1:20" ht="15" customHeight="1" x14ac:dyDescent="0.25">
      <c r="A15" s="1" t="s">
        <v>378</v>
      </c>
      <c r="B15" s="1" t="s">
        <v>34</v>
      </c>
      <c r="C15" s="1" t="s">
        <v>259</v>
      </c>
      <c r="D15" s="1">
        <v>2023</v>
      </c>
      <c r="E15" s="1" t="s">
        <v>260</v>
      </c>
      <c r="F15" s="1" t="s">
        <v>261</v>
      </c>
      <c r="I15" s="24">
        <v>45444</v>
      </c>
      <c r="M15" s="1" t="s">
        <v>263</v>
      </c>
      <c r="N15" s="1" t="s">
        <v>765</v>
      </c>
      <c r="O15" s="1" t="s">
        <v>766</v>
      </c>
      <c r="P15" s="3">
        <v>1</v>
      </c>
      <c r="Q15" s="3">
        <v>1</v>
      </c>
      <c r="R15" s="3">
        <v>1</v>
      </c>
      <c r="S15" s="3">
        <v>1</v>
      </c>
      <c r="T15" s="3">
        <f>SUM(Table145[[#This Row],[Relevence 0,1,0.5]:[Findings 0,1,0.5]])</f>
        <v>4</v>
      </c>
    </row>
    <row r="16" spans="1:20" ht="15" customHeight="1" x14ac:dyDescent="0.25">
      <c r="A16" s="1" t="s">
        <v>378</v>
      </c>
      <c r="B16" s="1" t="s">
        <v>34</v>
      </c>
      <c r="C16" s="1" t="s">
        <v>767</v>
      </c>
      <c r="D16" s="1">
        <v>2022</v>
      </c>
      <c r="E16" s="1" t="s">
        <v>771</v>
      </c>
      <c r="F16" s="1" t="s">
        <v>768</v>
      </c>
      <c r="I16" s="24">
        <v>45444</v>
      </c>
      <c r="M16" s="1" t="s">
        <v>770</v>
      </c>
      <c r="N16" s="1" t="s">
        <v>769</v>
      </c>
      <c r="O16" s="1" t="s">
        <v>772</v>
      </c>
      <c r="P16" s="3">
        <v>0</v>
      </c>
      <c r="Q16" s="3">
        <v>1</v>
      </c>
      <c r="R16" s="3">
        <v>0.5</v>
      </c>
      <c r="S16" s="3">
        <v>0.5</v>
      </c>
      <c r="T16" s="3">
        <f>SUM(Table145[[#This Row],[Relevence 0,1,0.5]:[Findings 0,1,0.5]])</f>
        <v>2</v>
      </c>
    </row>
    <row r="17" spans="1:20" ht="15" customHeight="1" x14ac:dyDescent="0.25">
      <c r="A17" s="1" t="s">
        <v>378</v>
      </c>
      <c r="B17" s="1" t="s">
        <v>34</v>
      </c>
      <c r="C17" s="1" t="s">
        <v>290</v>
      </c>
      <c r="D17" s="1">
        <v>2023</v>
      </c>
      <c r="E17" s="1" t="s">
        <v>291</v>
      </c>
      <c r="F17" s="1" t="s">
        <v>292</v>
      </c>
      <c r="I17" s="24">
        <v>45474</v>
      </c>
      <c r="M17" s="1" t="s">
        <v>294</v>
      </c>
      <c r="N17" s="1" t="s">
        <v>773</v>
      </c>
      <c r="O17" s="1" t="s">
        <v>774</v>
      </c>
      <c r="P17" s="3">
        <v>1</v>
      </c>
      <c r="Q17" s="3">
        <v>1</v>
      </c>
      <c r="R17" s="3">
        <v>1</v>
      </c>
      <c r="S17" s="3">
        <v>1</v>
      </c>
      <c r="T17" s="3">
        <f>SUM(Table145[[#This Row],[Relevence 0,1,0.5]:[Findings 0,1,0.5]])</f>
        <v>4</v>
      </c>
    </row>
    <row r="18" spans="1:20" ht="15" customHeight="1" x14ac:dyDescent="0.25">
      <c r="A18" s="1">
        <v>1</v>
      </c>
      <c r="B18" s="1" t="s">
        <v>34</v>
      </c>
      <c r="C18" s="1" t="s">
        <v>297</v>
      </c>
      <c r="D18" s="1">
        <v>2023</v>
      </c>
      <c r="E18" s="1" t="s">
        <v>298</v>
      </c>
      <c r="F18" s="1" t="s">
        <v>299</v>
      </c>
      <c r="I18" s="24">
        <v>45444</v>
      </c>
      <c r="M18" s="1" t="s">
        <v>301</v>
      </c>
      <c r="N18" s="1" t="s">
        <v>775</v>
      </c>
      <c r="O18" s="1" t="s">
        <v>776</v>
      </c>
      <c r="P18" s="3">
        <v>1</v>
      </c>
      <c r="Q18" s="3">
        <v>1</v>
      </c>
      <c r="R18" s="3">
        <v>1</v>
      </c>
      <c r="S18" s="3">
        <v>1</v>
      </c>
      <c r="T18" s="3">
        <f>SUM(Table145[[#This Row],[Relevence 0,1,0.5]:[Findings 0,1,0.5]])</f>
        <v>4</v>
      </c>
    </row>
    <row r="19" spans="1:20" ht="15" customHeight="1" x14ac:dyDescent="0.25">
      <c r="A19" s="1" t="s">
        <v>378</v>
      </c>
      <c r="B19" s="1" t="s">
        <v>34</v>
      </c>
      <c r="C19" s="1" t="s">
        <v>800</v>
      </c>
      <c r="D19" s="1">
        <v>2022</v>
      </c>
      <c r="E19" s="1" t="s">
        <v>805</v>
      </c>
      <c r="F19" s="1" t="s">
        <v>801</v>
      </c>
      <c r="I19" s="1" t="s">
        <v>802</v>
      </c>
      <c r="M19" s="1" t="s">
        <v>804</v>
      </c>
      <c r="N19" s="1" t="s">
        <v>803</v>
      </c>
      <c r="O19" s="1" t="s">
        <v>806</v>
      </c>
      <c r="P19" s="3">
        <v>0</v>
      </c>
      <c r="Q19" s="3">
        <v>1</v>
      </c>
      <c r="R19" s="3">
        <v>0.5</v>
      </c>
      <c r="S19" s="3">
        <v>0.5</v>
      </c>
      <c r="T19" s="3">
        <f>SUM(Table145[[#This Row],[Relevence 0,1,0.5]:[Findings 0,1,0.5]])</f>
        <v>2</v>
      </c>
    </row>
    <row r="20" spans="1:20" ht="15" customHeight="1" x14ac:dyDescent="0.25">
      <c r="A20" s="1" t="s">
        <v>378</v>
      </c>
      <c r="B20" s="1" t="s">
        <v>34</v>
      </c>
      <c r="C20" s="1" t="s">
        <v>824</v>
      </c>
      <c r="D20" s="1">
        <v>2023</v>
      </c>
      <c r="E20" s="1" t="s">
        <v>828</v>
      </c>
      <c r="F20" s="1" t="s">
        <v>675</v>
      </c>
      <c r="I20" s="1" t="s">
        <v>825</v>
      </c>
      <c r="M20" s="1" t="s">
        <v>827</v>
      </c>
      <c r="N20" s="1" t="s">
        <v>826</v>
      </c>
      <c r="O20" s="1" t="s">
        <v>829</v>
      </c>
      <c r="P20" s="3">
        <v>0</v>
      </c>
      <c r="Q20" s="3">
        <v>1</v>
      </c>
      <c r="R20" s="3">
        <v>0.5</v>
      </c>
      <c r="S20" s="3">
        <v>0.5</v>
      </c>
      <c r="T20" s="3">
        <f>SUM(Table145[[#This Row],[Relevence 0,1,0.5]:[Findings 0,1,0.5]])</f>
        <v>2</v>
      </c>
    </row>
    <row r="21" spans="1:20" ht="15" customHeight="1" x14ac:dyDescent="0.25">
      <c r="A21" s="1" t="s">
        <v>378</v>
      </c>
      <c r="B21" s="1" t="s">
        <v>34</v>
      </c>
      <c r="C21" s="1" t="s">
        <v>412</v>
      </c>
      <c r="D21" s="1">
        <v>2022</v>
      </c>
      <c r="E21" s="1" t="s">
        <v>413</v>
      </c>
      <c r="F21" s="1" t="s">
        <v>414</v>
      </c>
      <c r="I21" s="1" t="s">
        <v>415</v>
      </c>
      <c r="M21" s="1" t="s">
        <v>416</v>
      </c>
      <c r="N21" s="1" t="s">
        <v>830</v>
      </c>
      <c r="O21" s="1" t="s">
        <v>417</v>
      </c>
      <c r="P21" s="3">
        <v>0</v>
      </c>
      <c r="Q21" s="3">
        <v>1</v>
      </c>
      <c r="R21" s="3">
        <v>0.5</v>
      </c>
      <c r="S21" s="3">
        <v>0.5</v>
      </c>
      <c r="T21" s="3">
        <f>SUM(Table145[[#This Row],[Relevence 0,1,0.5]:[Findings 0,1,0.5]])</f>
        <v>2</v>
      </c>
    </row>
    <row r="22" spans="1:20" ht="15" customHeight="1" x14ac:dyDescent="0.25">
      <c r="A22" s="1" t="s">
        <v>378</v>
      </c>
      <c r="B22" s="1" t="s">
        <v>14</v>
      </c>
      <c r="C22" s="1" t="s">
        <v>418</v>
      </c>
      <c r="D22" s="1">
        <v>2022</v>
      </c>
      <c r="E22" s="1" t="s">
        <v>419</v>
      </c>
      <c r="F22" s="1" t="s">
        <v>400</v>
      </c>
      <c r="G22" s="1">
        <v>71</v>
      </c>
      <c r="I22" s="24">
        <v>45627</v>
      </c>
      <c r="M22" s="1" t="s">
        <v>420</v>
      </c>
      <c r="N22" s="1" t="s">
        <v>831</v>
      </c>
      <c r="O22" s="1" t="s">
        <v>421</v>
      </c>
      <c r="P22" s="3">
        <v>0</v>
      </c>
      <c r="Q22" s="3">
        <v>1</v>
      </c>
      <c r="R22" s="3">
        <v>0.5</v>
      </c>
      <c r="S22" s="3">
        <v>0.5</v>
      </c>
      <c r="T22" s="3">
        <f>SUM(Table145[[#This Row],[Relevence 0,1,0.5]:[Findings 0,1,0.5]])</f>
        <v>2</v>
      </c>
    </row>
    <row r="23" spans="1:20" ht="15" customHeight="1" x14ac:dyDescent="0.25">
      <c r="A23" s="1" t="s">
        <v>378</v>
      </c>
      <c r="B23" s="1" t="s">
        <v>34</v>
      </c>
      <c r="C23" s="1" t="s">
        <v>832</v>
      </c>
      <c r="D23" s="1">
        <v>2022</v>
      </c>
      <c r="E23" s="1" t="s">
        <v>836</v>
      </c>
      <c r="F23" s="1" t="s">
        <v>833</v>
      </c>
      <c r="I23" s="24">
        <v>45444</v>
      </c>
      <c r="M23" s="1" t="s">
        <v>835</v>
      </c>
      <c r="N23" s="1" t="s">
        <v>834</v>
      </c>
      <c r="O23" s="1" t="s">
        <v>837</v>
      </c>
      <c r="P23" s="3">
        <v>0</v>
      </c>
      <c r="Q23" s="3">
        <v>0</v>
      </c>
      <c r="R23" s="3">
        <v>0.5</v>
      </c>
      <c r="S23" s="3">
        <v>1</v>
      </c>
      <c r="T23" s="3">
        <f>SUM(Table145[[#This Row],[Relevence 0,1,0.5]:[Findings 0,1,0.5]])</f>
        <v>1.5</v>
      </c>
    </row>
    <row r="24" spans="1:20" ht="15" customHeight="1" x14ac:dyDescent="0.25">
      <c r="A24" s="1" t="s">
        <v>378</v>
      </c>
      <c r="B24" s="1" t="s">
        <v>34</v>
      </c>
      <c r="C24" s="1" t="s">
        <v>851</v>
      </c>
      <c r="D24" s="1">
        <v>2023</v>
      </c>
      <c r="E24" s="1" t="s">
        <v>855</v>
      </c>
      <c r="F24" s="1" t="s">
        <v>852</v>
      </c>
      <c r="I24" s="24">
        <v>45505</v>
      </c>
      <c r="M24" s="1" t="s">
        <v>854</v>
      </c>
      <c r="N24" s="1" t="s">
        <v>853</v>
      </c>
      <c r="O24" s="1" t="s">
        <v>856</v>
      </c>
      <c r="P24" s="3">
        <v>1</v>
      </c>
      <c r="Q24" s="3">
        <v>1</v>
      </c>
      <c r="R24" s="3">
        <v>0.5</v>
      </c>
      <c r="S24" s="3">
        <v>1</v>
      </c>
      <c r="T24" s="3">
        <f>SUM(Table145[[#This Row],[Relevence 0,1,0.5]:[Findings 0,1,0.5]])</f>
        <v>3.5</v>
      </c>
    </row>
    <row r="25" spans="1:20" ht="15" customHeight="1" x14ac:dyDescent="0.25">
      <c r="A25" s="1" t="s">
        <v>378</v>
      </c>
      <c r="B25" s="1" t="s">
        <v>34</v>
      </c>
      <c r="C25" s="1" t="s">
        <v>857</v>
      </c>
      <c r="D25" s="1">
        <v>2023</v>
      </c>
      <c r="E25" s="1" t="s">
        <v>862</v>
      </c>
      <c r="F25" s="1" t="s">
        <v>858</v>
      </c>
      <c r="I25" s="1" t="s">
        <v>859</v>
      </c>
      <c r="M25" s="1" t="s">
        <v>861</v>
      </c>
      <c r="N25" s="1" t="s">
        <v>860</v>
      </c>
      <c r="O25" s="1" t="s">
        <v>863</v>
      </c>
      <c r="P25" s="3">
        <v>0</v>
      </c>
      <c r="Q25" s="3">
        <v>1</v>
      </c>
      <c r="R25" s="3">
        <v>0</v>
      </c>
      <c r="S25" s="3">
        <v>0.5</v>
      </c>
      <c r="T25" s="3">
        <f>SUM(Table145[[#This Row],[Relevence 0,1,0.5]:[Findings 0,1,0.5]])</f>
        <v>1.5</v>
      </c>
    </row>
    <row r="26" spans="1:20" ht="15" customHeight="1" x14ac:dyDescent="0.25">
      <c r="A26" s="1" t="s">
        <v>378</v>
      </c>
      <c r="B26" s="1" t="s">
        <v>34</v>
      </c>
      <c r="C26" s="1" t="s">
        <v>864</v>
      </c>
      <c r="D26" s="1">
        <v>2023</v>
      </c>
      <c r="E26" s="1" t="s">
        <v>869</v>
      </c>
      <c r="F26" s="1" t="s">
        <v>865</v>
      </c>
      <c r="I26" s="1" t="s">
        <v>866</v>
      </c>
      <c r="M26" s="1" t="s">
        <v>868</v>
      </c>
      <c r="N26" s="1" t="s">
        <v>867</v>
      </c>
      <c r="O26" s="1" t="s">
        <v>870</v>
      </c>
      <c r="P26" s="3">
        <v>0</v>
      </c>
      <c r="Q26" s="3">
        <v>1</v>
      </c>
      <c r="R26" s="3">
        <v>0.5</v>
      </c>
      <c r="S26" s="3">
        <v>0.5</v>
      </c>
      <c r="T26" s="3">
        <f>SUM(Table145[[#This Row],[Relevence 0,1,0.5]:[Findings 0,1,0.5]])</f>
        <v>2</v>
      </c>
    </row>
    <row r="27" spans="1:20" ht="15" customHeight="1" x14ac:dyDescent="0.25">
      <c r="A27" s="1" t="s">
        <v>378</v>
      </c>
      <c r="B27" s="1" t="s">
        <v>34</v>
      </c>
      <c r="C27" s="1" t="s">
        <v>871</v>
      </c>
      <c r="D27" s="1">
        <v>2023</v>
      </c>
      <c r="E27" s="1" t="s">
        <v>876</v>
      </c>
      <c r="F27" s="1" t="s">
        <v>872</v>
      </c>
      <c r="I27" s="1" t="s">
        <v>873</v>
      </c>
      <c r="M27" s="1" t="s">
        <v>875</v>
      </c>
      <c r="N27" s="1" t="s">
        <v>874</v>
      </c>
      <c r="O27" s="1" t="s">
        <v>877</v>
      </c>
      <c r="P27" s="3">
        <v>1</v>
      </c>
      <c r="Q27" s="3">
        <v>1</v>
      </c>
      <c r="R27" s="3">
        <v>1</v>
      </c>
      <c r="S27" s="3">
        <v>0.5</v>
      </c>
      <c r="T27" s="3">
        <f>SUM(Table145[[#This Row],[Relevence 0,1,0.5]:[Findings 0,1,0.5]])</f>
        <v>3.5</v>
      </c>
    </row>
    <row r="28" spans="1:20" ht="15" customHeight="1" x14ac:dyDescent="0.25">
      <c r="A28" s="1" t="s">
        <v>378</v>
      </c>
      <c r="B28" s="1" t="s">
        <v>14</v>
      </c>
      <c r="C28" s="1" t="s">
        <v>354</v>
      </c>
      <c r="D28" s="1">
        <v>2023</v>
      </c>
      <c r="E28" s="1" t="s">
        <v>355</v>
      </c>
      <c r="F28" s="1" t="s">
        <v>379</v>
      </c>
      <c r="G28" s="1">
        <v>11</v>
      </c>
      <c r="I28" s="1" t="s">
        <v>423</v>
      </c>
      <c r="M28" s="1" t="s">
        <v>356</v>
      </c>
      <c r="N28" s="1" t="s">
        <v>878</v>
      </c>
      <c r="O28" s="1" t="s">
        <v>424</v>
      </c>
      <c r="P28" s="3">
        <v>1</v>
      </c>
      <c r="Q28" s="3">
        <v>1</v>
      </c>
      <c r="R28" s="3">
        <v>0.5</v>
      </c>
      <c r="S28" s="3">
        <v>1</v>
      </c>
      <c r="T28" s="3">
        <f>SUM(Table145[[#This Row],[Relevence 0,1,0.5]:[Findings 0,1,0.5]])</f>
        <v>3.5</v>
      </c>
    </row>
    <row r="29" spans="1:20" ht="15" customHeight="1" x14ac:dyDescent="0.25">
      <c r="A29" s="1" t="s">
        <v>371</v>
      </c>
      <c r="B29" s="1" t="s">
        <v>14</v>
      </c>
      <c r="C29" s="1" t="s">
        <v>923</v>
      </c>
      <c r="D29" s="1">
        <v>2023</v>
      </c>
      <c r="E29" s="1" t="s">
        <v>924</v>
      </c>
      <c r="F29" s="1" t="s">
        <v>375</v>
      </c>
      <c r="G29" s="1">
        <v>60</v>
      </c>
      <c r="H29" s="1">
        <v>2</v>
      </c>
      <c r="I29" s="1">
        <v>103225</v>
      </c>
      <c r="L29" s="1" t="s">
        <v>925</v>
      </c>
      <c r="M29" s="1" t="s">
        <v>926</v>
      </c>
      <c r="N29" s="1" t="s">
        <v>927</v>
      </c>
      <c r="O29" s="1" t="s">
        <v>928</v>
      </c>
      <c r="P29" s="3">
        <v>0</v>
      </c>
      <c r="Q29" s="3">
        <v>1</v>
      </c>
      <c r="R29" s="3">
        <v>0</v>
      </c>
      <c r="S29" s="3">
        <v>0.5</v>
      </c>
      <c r="T29" s="3">
        <f>SUM(Table145[[#This Row],[Relevence 0,1,0.5]:[Findings 0,1,0.5]])</f>
        <v>1.5</v>
      </c>
    </row>
    <row r="30" spans="1:20" ht="15" customHeight="1" x14ac:dyDescent="0.25">
      <c r="A30" s="1" t="s">
        <v>371</v>
      </c>
      <c r="B30" s="1" t="s">
        <v>14</v>
      </c>
      <c r="C30" s="1" t="s">
        <v>25</v>
      </c>
      <c r="D30" s="1">
        <v>2024</v>
      </c>
      <c r="E30" s="1" t="s">
        <v>26</v>
      </c>
      <c r="F30" s="1" t="s">
        <v>27</v>
      </c>
      <c r="G30" s="1">
        <v>93</v>
      </c>
      <c r="I30" s="1">
        <v>106125</v>
      </c>
      <c r="L30" s="1" t="s">
        <v>31</v>
      </c>
      <c r="M30" s="1" t="s">
        <v>30</v>
      </c>
      <c r="N30" s="1" t="s">
        <v>929</v>
      </c>
      <c r="O30" s="1" t="s">
        <v>930</v>
      </c>
      <c r="P30" s="3">
        <v>1</v>
      </c>
      <c r="Q30" s="3">
        <v>1</v>
      </c>
      <c r="R30" s="3">
        <v>1</v>
      </c>
      <c r="S30" s="3">
        <v>1</v>
      </c>
      <c r="T30" s="3">
        <f>SUM(Table145[[#This Row],[Relevence 0,1,0.5]:[Findings 0,1,0.5]])</f>
        <v>4</v>
      </c>
    </row>
    <row r="31" spans="1:20" ht="15" customHeight="1" x14ac:dyDescent="0.25">
      <c r="A31" s="1" t="s">
        <v>371</v>
      </c>
      <c r="B31" s="1" t="s">
        <v>14</v>
      </c>
      <c r="C31" s="1" t="s">
        <v>931</v>
      </c>
      <c r="D31" s="1">
        <v>2021</v>
      </c>
      <c r="E31" s="1" t="s">
        <v>932</v>
      </c>
      <c r="F31" s="1" t="s">
        <v>933</v>
      </c>
      <c r="G31" s="1">
        <v>91</v>
      </c>
      <c r="I31" s="1">
        <v>101939</v>
      </c>
      <c r="L31" s="1" t="s">
        <v>934</v>
      </c>
      <c r="M31" s="1" t="s">
        <v>935</v>
      </c>
      <c r="N31" s="1" t="s">
        <v>936</v>
      </c>
      <c r="O31" s="1" t="s">
        <v>937</v>
      </c>
      <c r="P31" s="3">
        <v>0</v>
      </c>
      <c r="Q31" s="3">
        <v>1</v>
      </c>
      <c r="R31" s="3">
        <v>0</v>
      </c>
      <c r="S31" s="3">
        <v>0.5</v>
      </c>
      <c r="T31" s="3">
        <f>SUM(Table145[[#This Row],[Relevence 0,1,0.5]:[Findings 0,1,0.5]])</f>
        <v>1.5</v>
      </c>
    </row>
    <row r="32" spans="1:20" ht="15" customHeight="1" x14ac:dyDescent="0.25">
      <c r="A32" s="1" t="s">
        <v>371</v>
      </c>
      <c r="B32" s="1" t="s">
        <v>14</v>
      </c>
      <c r="C32" s="1" t="s">
        <v>945</v>
      </c>
      <c r="D32" s="1">
        <v>2024</v>
      </c>
      <c r="E32" s="1" t="s">
        <v>946</v>
      </c>
      <c r="F32" s="1" t="s">
        <v>116</v>
      </c>
      <c r="G32" s="1">
        <v>170</v>
      </c>
      <c r="I32" s="1">
        <v>108029</v>
      </c>
      <c r="L32" s="1" t="s">
        <v>947</v>
      </c>
      <c r="M32" s="1" t="s">
        <v>948</v>
      </c>
      <c r="N32" s="1" t="s">
        <v>949</v>
      </c>
      <c r="O32" s="1" t="s">
        <v>950</v>
      </c>
      <c r="P32" s="3">
        <v>0</v>
      </c>
      <c r="Q32" s="3">
        <v>1</v>
      </c>
      <c r="R32" s="3">
        <v>0</v>
      </c>
      <c r="S32" s="3">
        <v>0.5</v>
      </c>
      <c r="T32" s="3">
        <f>SUM(Table145[[#This Row],[Relevence 0,1,0.5]:[Findings 0,1,0.5]])</f>
        <v>1.5</v>
      </c>
    </row>
    <row r="33" spans="1:20" ht="15" customHeight="1" x14ac:dyDescent="0.25">
      <c r="A33" s="1" t="s">
        <v>371</v>
      </c>
      <c r="B33" s="1" t="s">
        <v>14</v>
      </c>
      <c r="C33" s="1" t="s">
        <v>964</v>
      </c>
      <c r="D33" s="1">
        <v>2023</v>
      </c>
      <c r="E33" s="1" t="s">
        <v>965</v>
      </c>
      <c r="F33" s="1" t="s">
        <v>966</v>
      </c>
      <c r="G33" s="1">
        <v>3</v>
      </c>
      <c r="H33" s="1">
        <v>2</v>
      </c>
      <c r="I33" s="1">
        <v>100119</v>
      </c>
      <c r="L33" s="1" t="s">
        <v>967</v>
      </c>
      <c r="M33" s="1" t="s">
        <v>968</v>
      </c>
      <c r="N33" s="1" t="s">
        <v>969</v>
      </c>
      <c r="O33" s="1" t="s">
        <v>970</v>
      </c>
      <c r="P33" s="3">
        <v>0</v>
      </c>
      <c r="Q33" s="3">
        <v>0.5</v>
      </c>
      <c r="R33" s="3">
        <v>0.5</v>
      </c>
      <c r="S33" s="3">
        <v>1</v>
      </c>
      <c r="T33" s="3">
        <f>SUM(Table145[[#This Row],[Relevence 0,1,0.5]:[Findings 0,1,0.5]])</f>
        <v>2</v>
      </c>
    </row>
    <row r="34" spans="1:20" ht="15" customHeight="1" x14ac:dyDescent="0.25">
      <c r="A34" s="1" t="s">
        <v>371</v>
      </c>
      <c r="B34" s="1" t="s">
        <v>14</v>
      </c>
      <c r="C34" s="1" t="s">
        <v>971</v>
      </c>
      <c r="D34" s="1">
        <v>2023</v>
      </c>
      <c r="E34" s="1" t="s">
        <v>972</v>
      </c>
      <c r="F34" s="1" t="s">
        <v>373</v>
      </c>
      <c r="G34" s="1">
        <v>144</v>
      </c>
      <c r="I34" s="1">
        <v>102657</v>
      </c>
      <c r="L34" s="1" t="s">
        <v>973</v>
      </c>
      <c r="M34" s="1" t="s">
        <v>974</v>
      </c>
      <c r="N34" s="1" t="s">
        <v>975</v>
      </c>
      <c r="O34" s="1" t="s">
        <v>976</v>
      </c>
      <c r="P34" s="3">
        <v>0</v>
      </c>
      <c r="Q34" s="3">
        <v>0</v>
      </c>
      <c r="R34" s="3">
        <v>0.5</v>
      </c>
      <c r="S34" s="3">
        <v>1</v>
      </c>
      <c r="T34" s="3">
        <f>SUM(Table145[[#This Row],[Relevence 0,1,0.5]:[Findings 0,1,0.5]])</f>
        <v>1.5</v>
      </c>
    </row>
    <row r="35" spans="1:20" ht="15" customHeight="1" x14ac:dyDescent="0.25">
      <c r="A35" s="1" t="s">
        <v>371</v>
      </c>
      <c r="B35" s="1" t="s">
        <v>14</v>
      </c>
      <c r="C35" s="1" t="s">
        <v>977</v>
      </c>
      <c r="D35" s="1">
        <v>2022</v>
      </c>
      <c r="E35" s="1" t="s">
        <v>978</v>
      </c>
      <c r="F35" s="1" t="s">
        <v>979</v>
      </c>
      <c r="G35" s="1">
        <v>199</v>
      </c>
      <c r="I35" s="1">
        <v>107199</v>
      </c>
      <c r="L35" s="1" t="s">
        <v>980</v>
      </c>
      <c r="M35" s="1" t="s">
        <v>981</v>
      </c>
      <c r="N35" s="1" t="s">
        <v>982</v>
      </c>
      <c r="O35" s="1" t="s">
        <v>983</v>
      </c>
      <c r="P35" s="3">
        <v>0</v>
      </c>
      <c r="Q35" s="3">
        <v>0.5</v>
      </c>
      <c r="R35" s="3">
        <v>0.5</v>
      </c>
      <c r="S35" s="3">
        <v>1</v>
      </c>
      <c r="T35" s="3">
        <f>SUM(Table145[[#This Row],[Relevence 0,1,0.5]:[Findings 0,1,0.5]])</f>
        <v>2</v>
      </c>
    </row>
    <row r="36" spans="1:20" ht="15" customHeight="1" x14ac:dyDescent="0.25">
      <c r="A36" s="1" t="s">
        <v>371</v>
      </c>
      <c r="B36" s="1" t="s">
        <v>14</v>
      </c>
      <c r="C36" s="1" t="s">
        <v>98</v>
      </c>
      <c r="D36" s="1">
        <v>2024</v>
      </c>
      <c r="E36" s="1" t="s">
        <v>99</v>
      </c>
      <c r="F36" s="1" t="s">
        <v>116</v>
      </c>
      <c r="G36" s="1">
        <v>170</v>
      </c>
      <c r="I36" s="1">
        <v>108012</v>
      </c>
      <c r="L36" s="1" t="s">
        <v>104</v>
      </c>
      <c r="M36" s="1" t="s">
        <v>1005</v>
      </c>
      <c r="N36" s="1" t="s">
        <v>1006</v>
      </c>
      <c r="O36" s="1" t="s">
        <v>1007</v>
      </c>
      <c r="P36" s="3">
        <v>1</v>
      </c>
      <c r="Q36" s="3">
        <v>1</v>
      </c>
      <c r="R36" s="3">
        <v>1</v>
      </c>
      <c r="S36" s="3">
        <v>1</v>
      </c>
      <c r="T36" s="3">
        <f>SUM(Table145[[#This Row],[Relevence 0,1,0.5]:[Findings 0,1,0.5]])</f>
        <v>4</v>
      </c>
    </row>
    <row r="37" spans="1:20" ht="15" customHeight="1" x14ac:dyDescent="0.25">
      <c r="A37" s="1" t="s">
        <v>371</v>
      </c>
      <c r="B37" s="1" t="s">
        <v>14</v>
      </c>
      <c r="C37" s="1" t="s">
        <v>1008</v>
      </c>
      <c r="D37" s="1">
        <v>2023</v>
      </c>
      <c r="E37" s="1" t="s">
        <v>1009</v>
      </c>
      <c r="F37" s="1" t="s">
        <v>284</v>
      </c>
      <c r="G37" s="1">
        <v>17</v>
      </c>
      <c r="I37" s="1">
        <v>200186</v>
      </c>
      <c r="L37" s="1" t="s">
        <v>1010</v>
      </c>
      <c r="M37" s="1" t="s">
        <v>1011</v>
      </c>
      <c r="N37" s="1" t="s">
        <v>1012</v>
      </c>
      <c r="O37" s="1" t="s">
        <v>1013</v>
      </c>
      <c r="P37" s="3">
        <v>0</v>
      </c>
      <c r="Q37" s="3">
        <v>1</v>
      </c>
      <c r="R37" s="3">
        <v>0</v>
      </c>
      <c r="S37" s="3">
        <v>0.5</v>
      </c>
      <c r="T37" s="3">
        <f>SUM(Table145[[#This Row],[Relevence 0,1,0.5]:[Findings 0,1,0.5]])</f>
        <v>1.5</v>
      </c>
    </row>
    <row r="38" spans="1:20" ht="15" customHeight="1" x14ac:dyDescent="0.25">
      <c r="A38" s="1" t="s">
        <v>371</v>
      </c>
      <c r="B38" s="1" t="s">
        <v>14</v>
      </c>
      <c r="C38" s="1" t="s">
        <v>114</v>
      </c>
      <c r="D38" s="1">
        <v>2021</v>
      </c>
      <c r="E38" s="1" t="s">
        <v>115</v>
      </c>
      <c r="F38" s="1" t="s">
        <v>116</v>
      </c>
      <c r="G38" s="1">
        <v>137</v>
      </c>
      <c r="I38" s="1">
        <v>104789</v>
      </c>
      <c r="L38" s="1" t="s">
        <v>119</v>
      </c>
      <c r="M38" s="1" t="s">
        <v>118</v>
      </c>
      <c r="N38" s="1" t="s">
        <v>1014</v>
      </c>
      <c r="O38" s="1" t="s">
        <v>1015</v>
      </c>
      <c r="P38" s="3">
        <v>1</v>
      </c>
      <c r="Q38" s="3">
        <v>1</v>
      </c>
      <c r="R38" s="3">
        <v>1</v>
      </c>
      <c r="S38" s="3">
        <v>1</v>
      </c>
      <c r="T38" s="3">
        <f>SUM(Table145[[#This Row],[Relevence 0,1,0.5]:[Findings 0,1,0.5]])</f>
        <v>4</v>
      </c>
    </row>
    <row r="39" spans="1:20" ht="15" customHeight="1" x14ac:dyDescent="0.25">
      <c r="A39" s="1" t="s">
        <v>371</v>
      </c>
      <c r="B39" s="1" t="s">
        <v>14</v>
      </c>
      <c r="C39" s="1" t="s">
        <v>1016</v>
      </c>
      <c r="D39" s="1">
        <v>2023</v>
      </c>
      <c r="E39" s="1" t="s">
        <v>1017</v>
      </c>
      <c r="F39" s="1" t="s">
        <v>372</v>
      </c>
      <c r="G39" s="1">
        <v>240</v>
      </c>
      <c r="I39" s="1">
        <v>107718</v>
      </c>
      <c r="L39" s="1" t="s">
        <v>1018</v>
      </c>
      <c r="M39" s="1" t="s">
        <v>1019</v>
      </c>
      <c r="N39" s="1" t="s">
        <v>1020</v>
      </c>
      <c r="O39" s="1" t="s">
        <v>1021</v>
      </c>
      <c r="P39" s="3">
        <v>0</v>
      </c>
      <c r="Q39" s="3">
        <v>1</v>
      </c>
      <c r="R39" s="3">
        <v>0</v>
      </c>
      <c r="S39" s="3">
        <v>0.5</v>
      </c>
      <c r="T39" s="3">
        <f>SUM(Table145[[#This Row],[Relevence 0,1,0.5]:[Findings 0,1,0.5]])</f>
        <v>1.5</v>
      </c>
    </row>
    <row r="40" spans="1:20" ht="15" customHeight="1" x14ac:dyDescent="0.25">
      <c r="A40" s="1" t="s">
        <v>371</v>
      </c>
      <c r="B40" s="1" t="s">
        <v>14</v>
      </c>
      <c r="C40" s="1" t="s">
        <v>1029</v>
      </c>
      <c r="D40" s="1">
        <v>2021</v>
      </c>
      <c r="E40" s="1" t="s">
        <v>1030</v>
      </c>
      <c r="F40" s="1" t="s">
        <v>511</v>
      </c>
      <c r="G40" s="1">
        <v>152</v>
      </c>
      <c r="I40" s="1" t="s">
        <v>1031</v>
      </c>
      <c r="L40" s="1" t="s">
        <v>1032</v>
      </c>
      <c r="M40" s="1" t="s">
        <v>1033</v>
      </c>
      <c r="N40" s="1" t="s">
        <v>1034</v>
      </c>
      <c r="O40" s="1" t="s">
        <v>1035</v>
      </c>
      <c r="P40" s="3">
        <v>0</v>
      </c>
      <c r="Q40" s="3">
        <v>1</v>
      </c>
      <c r="R40" s="3">
        <v>0</v>
      </c>
      <c r="S40" s="3">
        <v>0.5</v>
      </c>
      <c r="T40" s="3">
        <f>SUM(Table145[[#This Row],[Relevence 0,1,0.5]:[Findings 0,1,0.5]])</f>
        <v>1.5</v>
      </c>
    </row>
    <row r="41" spans="1:20" ht="15" customHeight="1" x14ac:dyDescent="0.25">
      <c r="A41" s="1" t="s">
        <v>371</v>
      </c>
      <c r="B41" s="1" t="s">
        <v>14</v>
      </c>
      <c r="C41" s="1" t="s">
        <v>1051</v>
      </c>
      <c r="D41" s="1">
        <v>2024</v>
      </c>
      <c r="E41" s="1" t="s">
        <v>1052</v>
      </c>
      <c r="F41" s="1" t="s">
        <v>979</v>
      </c>
      <c r="G41" s="1">
        <v>218</v>
      </c>
      <c r="I41" s="1">
        <v>108668</v>
      </c>
      <c r="L41" s="1" t="s">
        <v>1053</v>
      </c>
      <c r="M41" s="1" t="s">
        <v>1054</v>
      </c>
      <c r="N41" s="1" t="s">
        <v>1055</v>
      </c>
      <c r="O41" s="1" t="s">
        <v>1056</v>
      </c>
      <c r="P41" s="3">
        <v>1</v>
      </c>
      <c r="Q41" s="3">
        <v>1</v>
      </c>
      <c r="R41" s="3">
        <v>0.5</v>
      </c>
      <c r="S41" s="3">
        <v>1</v>
      </c>
      <c r="T41" s="3">
        <f>SUM(Table145[[#This Row],[Relevence 0,1,0.5]:[Findings 0,1,0.5]])</f>
        <v>3.5</v>
      </c>
    </row>
    <row r="42" spans="1:20" ht="15" customHeight="1" x14ac:dyDescent="0.25">
      <c r="A42" s="1" t="s">
        <v>371</v>
      </c>
      <c r="B42" s="1" t="s">
        <v>14</v>
      </c>
      <c r="C42" s="1" t="s">
        <v>1057</v>
      </c>
      <c r="D42" s="1">
        <v>2022</v>
      </c>
      <c r="E42" s="1" t="s">
        <v>1058</v>
      </c>
      <c r="F42" s="1" t="s">
        <v>372</v>
      </c>
      <c r="G42" s="1">
        <v>226</v>
      </c>
      <c r="I42" s="1">
        <v>107161</v>
      </c>
      <c r="L42" s="1" t="s">
        <v>1059</v>
      </c>
      <c r="M42" s="1" t="s">
        <v>1060</v>
      </c>
      <c r="N42" s="1" t="s">
        <v>1061</v>
      </c>
      <c r="O42" s="1" t="s">
        <v>1062</v>
      </c>
      <c r="P42" s="3">
        <v>0</v>
      </c>
      <c r="Q42" s="3">
        <v>1</v>
      </c>
      <c r="R42" s="3">
        <v>0</v>
      </c>
      <c r="S42" s="3">
        <v>0.5</v>
      </c>
      <c r="T42" s="3">
        <f>SUM(Table145[[#This Row],[Relevence 0,1,0.5]:[Findings 0,1,0.5]])</f>
        <v>1.5</v>
      </c>
    </row>
    <row r="43" spans="1:20" ht="15" customHeight="1" x14ac:dyDescent="0.25">
      <c r="A43" s="1" t="s">
        <v>371</v>
      </c>
      <c r="B43" s="1" t="s">
        <v>14</v>
      </c>
      <c r="C43" s="1" t="s">
        <v>207</v>
      </c>
      <c r="D43" s="1">
        <v>2023</v>
      </c>
      <c r="E43" s="1" t="s">
        <v>208</v>
      </c>
      <c r="F43" s="1" t="s">
        <v>209</v>
      </c>
      <c r="G43" s="1">
        <v>218</v>
      </c>
      <c r="I43" s="1" t="s">
        <v>1085</v>
      </c>
      <c r="L43" s="1" t="s">
        <v>212</v>
      </c>
      <c r="M43" s="1" t="s">
        <v>211</v>
      </c>
      <c r="N43" s="1" t="s">
        <v>1086</v>
      </c>
      <c r="O43" s="1" t="s">
        <v>1087</v>
      </c>
      <c r="P43" s="3">
        <v>1</v>
      </c>
      <c r="Q43" s="3">
        <v>1</v>
      </c>
      <c r="R43" s="3">
        <v>1</v>
      </c>
      <c r="S43" s="3">
        <v>1</v>
      </c>
      <c r="T43" s="3">
        <f>SUM(Table145[[#This Row],[Relevence 0,1,0.5]:[Findings 0,1,0.5]])</f>
        <v>4</v>
      </c>
    </row>
    <row r="44" spans="1:20" ht="15" customHeight="1" x14ac:dyDescent="0.25">
      <c r="A44" s="1" t="s">
        <v>371</v>
      </c>
      <c r="B44" s="1" t="s">
        <v>14</v>
      </c>
      <c r="C44" s="1" t="s">
        <v>282</v>
      </c>
      <c r="D44" s="1">
        <v>2022</v>
      </c>
      <c r="E44" s="1" t="s">
        <v>283</v>
      </c>
      <c r="F44" s="1" t="s">
        <v>284</v>
      </c>
      <c r="G44" s="1">
        <v>16</v>
      </c>
      <c r="I44" s="1">
        <v>200148</v>
      </c>
      <c r="L44" s="1" t="s">
        <v>287</v>
      </c>
      <c r="M44" s="1" t="s">
        <v>286</v>
      </c>
      <c r="N44" s="1" t="s">
        <v>1099</v>
      </c>
      <c r="O44" s="1" t="s">
        <v>1100</v>
      </c>
      <c r="P44" s="3">
        <v>1</v>
      </c>
      <c r="Q44" s="3">
        <v>1</v>
      </c>
      <c r="R44" s="3">
        <v>0.5</v>
      </c>
      <c r="S44" s="3">
        <v>1</v>
      </c>
      <c r="T44" s="3">
        <f>SUM(Table145[[#This Row],[Relevence 0,1,0.5]:[Findings 0,1,0.5]])</f>
        <v>3.5</v>
      </c>
    </row>
    <row r="45" spans="1:20" ht="15" customHeight="1" x14ac:dyDescent="0.25">
      <c r="A45" s="1" t="s">
        <v>371</v>
      </c>
      <c r="B45" s="1" t="s">
        <v>14</v>
      </c>
      <c r="C45" s="1" t="s">
        <v>318</v>
      </c>
      <c r="D45" s="1">
        <v>2022</v>
      </c>
      <c r="E45" s="1" t="s">
        <v>319</v>
      </c>
      <c r="F45" s="1" t="s">
        <v>209</v>
      </c>
      <c r="G45" s="1">
        <v>200</v>
      </c>
      <c r="I45" s="1" t="s">
        <v>1101</v>
      </c>
      <c r="L45" s="1" t="s">
        <v>1102</v>
      </c>
      <c r="M45" s="1" t="s">
        <v>1103</v>
      </c>
      <c r="N45" s="1" t="s">
        <v>1104</v>
      </c>
      <c r="O45" s="1" t="s">
        <v>1105</v>
      </c>
      <c r="P45" s="3">
        <v>1</v>
      </c>
      <c r="Q45" s="3">
        <v>1</v>
      </c>
      <c r="R45" s="3">
        <v>1</v>
      </c>
      <c r="S45" s="3">
        <v>0.5</v>
      </c>
      <c r="T45" s="3">
        <f>SUM(Table145[[#This Row],[Relevence 0,1,0.5]:[Findings 0,1,0.5]])</f>
        <v>3.5</v>
      </c>
    </row>
    <row r="46" spans="1:20" ht="15" customHeight="1" x14ac:dyDescent="0.25">
      <c r="A46" s="1" t="s">
        <v>371</v>
      </c>
      <c r="B46" s="1" t="s">
        <v>14</v>
      </c>
      <c r="C46" s="1" t="s">
        <v>336</v>
      </c>
      <c r="D46" s="1">
        <v>2023</v>
      </c>
      <c r="E46" s="1" t="s">
        <v>337</v>
      </c>
      <c r="F46" s="1" t="s">
        <v>338</v>
      </c>
      <c r="L46" s="1" t="s">
        <v>341</v>
      </c>
      <c r="M46" s="1" t="s">
        <v>340</v>
      </c>
      <c r="N46" s="1" t="s">
        <v>1106</v>
      </c>
      <c r="O46" s="1" t="s">
        <v>1107</v>
      </c>
      <c r="P46" s="3">
        <v>1</v>
      </c>
      <c r="Q46" s="3">
        <v>1</v>
      </c>
      <c r="R46" s="3">
        <v>1</v>
      </c>
      <c r="S46" s="3">
        <v>1</v>
      </c>
      <c r="T46" s="3">
        <f>SUM(Table145[[#This Row],[Relevence 0,1,0.5]:[Findings 0,1,0.5]])</f>
        <v>4</v>
      </c>
    </row>
    <row r="47" spans="1:20" ht="15" customHeight="1" x14ac:dyDescent="0.25">
      <c r="A47" s="1" t="s">
        <v>371</v>
      </c>
      <c r="B47" s="1" t="s">
        <v>14</v>
      </c>
      <c r="C47" s="1" t="s">
        <v>1108</v>
      </c>
      <c r="D47" s="1">
        <v>2022</v>
      </c>
      <c r="E47" s="1" t="s">
        <v>1109</v>
      </c>
      <c r="F47" s="1" t="s">
        <v>27</v>
      </c>
      <c r="G47" s="1">
        <v>78</v>
      </c>
      <c r="I47" s="1">
        <v>103948</v>
      </c>
      <c r="L47" s="1" t="s">
        <v>1110</v>
      </c>
      <c r="M47" s="1" t="s">
        <v>1111</v>
      </c>
      <c r="N47" s="1" t="s">
        <v>1112</v>
      </c>
      <c r="O47" s="1" t="s">
        <v>1113</v>
      </c>
      <c r="P47" s="3">
        <v>0</v>
      </c>
      <c r="Q47" s="3">
        <v>1</v>
      </c>
      <c r="R47" s="3">
        <v>0</v>
      </c>
      <c r="S47" s="3">
        <v>0.5</v>
      </c>
      <c r="T47" s="3">
        <f>SUM(Table145[[#This Row],[Relevence 0,1,0.5]:[Findings 0,1,0.5]])</f>
        <v>1.5</v>
      </c>
    </row>
    <row r="48" spans="1:20" ht="15" customHeight="1" x14ac:dyDescent="0.25">
      <c r="A48" s="1" t="s">
        <v>371</v>
      </c>
      <c r="B48" s="1" t="s">
        <v>14</v>
      </c>
      <c r="C48" s="1" t="s">
        <v>1114</v>
      </c>
      <c r="D48" s="1">
        <v>2023</v>
      </c>
      <c r="E48" s="1" t="s">
        <v>1115</v>
      </c>
      <c r="F48" s="1" t="s">
        <v>27</v>
      </c>
      <c r="G48" s="1">
        <v>86</v>
      </c>
      <c r="I48" s="1">
        <v>105158</v>
      </c>
      <c r="L48" s="1" t="s">
        <v>1116</v>
      </c>
      <c r="M48" s="1" t="s">
        <v>1117</v>
      </c>
      <c r="N48" s="1" t="s">
        <v>1118</v>
      </c>
      <c r="O48" s="1" t="s">
        <v>1119</v>
      </c>
      <c r="P48" s="3">
        <v>0</v>
      </c>
      <c r="Q48" s="3">
        <v>1</v>
      </c>
      <c r="R48" s="3">
        <v>0</v>
      </c>
      <c r="S48" s="3">
        <v>0.5</v>
      </c>
      <c r="T48" s="3">
        <f>SUM(Table145[[#This Row],[Relevence 0,1,0.5]:[Findings 0,1,0.5]])</f>
        <v>1.5</v>
      </c>
    </row>
    <row r="49" spans="1:20" ht="15" customHeight="1" x14ac:dyDescent="0.25">
      <c r="A49" s="1" t="s">
        <v>371</v>
      </c>
      <c r="B49" s="1" t="s">
        <v>14</v>
      </c>
      <c r="C49" s="1" t="s">
        <v>1127</v>
      </c>
      <c r="D49" s="1">
        <v>2023</v>
      </c>
      <c r="E49" s="1" t="s">
        <v>1128</v>
      </c>
      <c r="F49" s="1" t="s">
        <v>376</v>
      </c>
      <c r="G49" s="1">
        <v>126</v>
      </c>
      <c r="I49" s="1">
        <v>107079</v>
      </c>
      <c r="L49" s="1" t="s">
        <v>1129</v>
      </c>
      <c r="M49" s="1" t="s">
        <v>1130</v>
      </c>
      <c r="N49" s="1" t="s">
        <v>1131</v>
      </c>
      <c r="O49" s="1" t="s">
        <v>1132</v>
      </c>
      <c r="P49" s="3">
        <v>0</v>
      </c>
      <c r="Q49" s="3">
        <v>0</v>
      </c>
      <c r="R49" s="3">
        <v>0.5</v>
      </c>
      <c r="S49" s="3">
        <v>1</v>
      </c>
      <c r="T49" s="3">
        <f>SUM(Table145[[#This Row],[Relevence 0,1,0.5]:[Findings 0,1,0.5]])</f>
        <v>1.5</v>
      </c>
    </row>
    <row r="50" spans="1:20" ht="15" customHeight="1" x14ac:dyDescent="0.25">
      <c r="A50" s="1" t="s">
        <v>425</v>
      </c>
      <c r="B50" s="1" t="s">
        <v>14</v>
      </c>
      <c r="C50" s="1" t="s">
        <v>426</v>
      </c>
      <c r="D50" s="1">
        <v>2023</v>
      </c>
      <c r="E50" s="1" t="s">
        <v>427</v>
      </c>
      <c r="F50" s="1" t="s">
        <v>1138</v>
      </c>
      <c r="G50" s="1">
        <v>35</v>
      </c>
      <c r="H50" s="1">
        <v>30</v>
      </c>
      <c r="I50" s="1" t="s">
        <v>428</v>
      </c>
      <c r="M50" s="1" t="s">
        <v>429</v>
      </c>
      <c r="O50" s="1" t="s">
        <v>430</v>
      </c>
      <c r="P50" s="3">
        <v>0</v>
      </c>
      <c r="Q50" s="3">
        <v>1</v>
      </c>
      <c r="R50" s="3">
        <v>0</v>
      </c>
      <c r="S50" s="3">
        <v>0.5</v>
      </c>
      <c r="T50" s="3">
        <f>SUM(Table145[[#This Row],[Relevence 0,1,0.5]:[Findings 0,1,0.5]])</f>
        <v>1.5</v>
      </c>
    </row>
    <row r="51" spans="1:20" ht="15" customHeight="1" x14ac:dyDescent="0.25">
      <c r="A51" s="1" t="s">
        <v>425</v>
      </c>
      <c r="B51" s="1" t="s">
        <v>14</v>
      </c>
      <c r="C51" s="1" t="s">
        <v>1139</v>
      </c>
      <c r="D51" s="1">
        <v>2022</v>
      </c>
      <c r="E51" s="1" t="s">
        <v>1140</v>
      </c>
      <c r="F51" s="1" t="s">
        <v>224</v>
      </c>
      <c r="G51" s="1">
        <v>22</v>
      </c>
      <c r="H51" s="1">
        <v>12</v>
      </c>
      <c r="M51" s="1" t="s">
        <v>1141</v>
      </c>
      <c r="O51" s="1" t="s">
        <v>1142</v>
      </c>
      <c r="P51" s="3">
        <v>0</v>
      </c>
      <c r="Q51" s="3">
        <v>1</v>
      </c>
      <c r="R51" s="3">
        <v>0</v>
      </c>
      <c r="S51" s="3">
        <v>0.5</v>
      </c>
      <c r="T51" s="3">
        <f>SUM(Table145[[#This Row],[Relevence 0,1,0.5]:[Findings 0,1,0.5]])</f>
        <v>1.5</v>
      </c>
    </row>
    <row r="52" spans="1:20" ht="15" customHeight="1" x14ac:dyDescent="0.25">
      <c r="A52" s="1" t="s">
        <v>425</v>
      </c>
      <c r="B52" s="1" t="s">
        <v>14</v>
      </c>
      <c r="C52" s="1" t="s">
        <v>1143</v>
      </c>
      <c r="D52" s="1">
        <v>2023</v>
      </c>
      <c r="E52" s="1" t="s">
        <v>455</v>
      </c>
      <c r="F52" s="1" t="s">
        <v>224</v>
      </c>
      <c r="G52" s="1">
        <v>23</v>
      </c>
      <c r="H52" s="1">
        <v>2</v>
      </c>
      <c r="M52" s="1" t="s">
        <v>458</v>
      </c>
      <c r="O52" s="1" t="s">
        <v>1144</v>
      </c>
      <c r="P52" s="3">
        <v>0</v>
      </c>
      <c r="Q52" s="3">
        <v>0.5</v>
      </c>
      <c r="R52" s="3">
        <v>0.5</v>
      </c>
      <c r="S52" s="3">
        <v>1</v>
      </c>
      <c r="T52" s="3">
        <f>SUM(Table145[[#This Row],[Relevence 0,1,0.5]:[Findings 0,1,0.5]])</f>
        <v>2</v>
      </c>
    </row>
    <row r="53" spans="1:20" ht="15" customHeight="1" x14ac:dyDescent="0.25">
      <c r="A53" s="1" t="s">
        <v>425</v>
      </c>
      <c r="B53" s="1" t="s">
        <v>14</v>
      </c>
      <c r="C53" s="1" t="s">
        <v>15</v>
      </c>
      <c r="D53" s="1">
        <v>2023</v>
      </c>
      <c r="E53" s="1" t="s">
        <v>16</v>
      </c>
      <c r="F53" s="1" t="s">
        <v>17</v>
      </c>
      <c r="G53" s="1">
        <v>11</v>
      </c>
      <c r="I53" s="1" t="s">
        <v>382</v>
      </c>
      <c r="M53" s="1" t="s">
        <v>19</v>
      </c>
      <c r="O53" s="1" t="s">
        <v>383</v>
      </c>
      <c r="P53" s="3">
        <v>1</v>
      </c>
      <c r="Q53" s="3">
        <v>1</v>
      </c>
      <c r="R53" s="3">
        <v>1</v>
      </c>
      <c r="S53" s="3">
        <v>1</v>
      </c>
      <c r="T53" s="3">
        <f>SUM(Table145[[#This Row],[Relevence 0,1,0.5]:[Findings 0,1,0.5]])</f>
        <v>4</v>
      </c>
    </row>
    <row r="54" spans="1:20" ht="15" customHeight="1" x14ac:dyDescent="0.25">
      <c r="A54" s="1" t="s">
        <v>425</v>
      </c>
      <c r="B54" s="1" t="s">
        <v>14</v>
      </c>
      <c r="C54" s="1" t="s">
        <v>1158</v>
      </c>
      <c r="D54" s="1">
        <v>2023</v>
      </c>
      <c r="E54" s="1" t="s">
        <v>1159</v>
      </c>
      <c r="F54" s="1" t="s">
        <v>1160</v>
      </c>
      <c r="G54" s="1">
        <v>8</v>
      </c>
      <c r="H54" s="1">
        <v>6</v>
      </c>
      <c r="I54" s="1" t="s">
        <v>1161</v>
      </c>
      <c r="M54" s="1" t="s">
        <v>1162</v>
      </c>
      <c r="O54" s="1" t="s">
        <v>1163</v>
      </c>
      <c r="P54" s="3">
        <v>0</v>
      </c>
      <c r="Q54" s="3">
        <v>1</v>
      </c>
      <c r="R54" s="3">
        <v>0</v>
      </c>
      <c r="S54" s="3">
        <v>0.5</v>
      </c>
      <c r="T54" s="3">
        <f>SUM(Table145[[#This Row],[Relevence 0,1,0.5]:[Findings 0,1,0.5]])</f>
        <v>1.5</v>
      </c>
    </row>
    <row r="55" spans="1:20" ht="15" customHeight="1" x14ac:dyDescent="0.25">
      <c r="A55" s="1" t="s">
        <v>425</v>
      </c>
      <c r="B55" s="1" t="s">
        <v>14</v>
      </c>
      <c r="C55" s="1" t="s">
        <v>1167</v>
      </c>
      <c r="D55" s="1">
        <v>2023</v>
      </c>
      <c r="E55" s="1" t="s">
        <v>1168</v>
      </c>
      <c r="F55" s="1" t="s">
        <v>1169</v>
      </c>
      <c r="M55" s="1" t="s">
        <v>1170</v>
      </c>
      <c r="O55" s="1" t="s">
        <v>1171</v>
      </c>
      <c r="P55" s="3">
        <v>0</v>
      </c>
      <c r="Q55" s="3">
        <v>1</v>
      </c>
      <c r="R55" s="3">
        <v>0</v>
      </c>
      <c r="S55" s="3">
        <v>0.5</v>
      </c>
      <c r="T55" s="3">
        <f>SUM(Table145[[#This Row],[Relevence 0,1,0.5]:[Findings 0,1,0.5]])</f>
        <v>1.5</v>
      </c>
    </row>
    <row r="56" spans="1:20" ht="15" customHeight="1" x14ac:dyDescent="0.25">
      <c r="A56" s="1" t="s">
        <v>425</v>
      </c>
      <c r="B56" s="1" t="s">
        <v>14</v>
      </c>
      <c r="C56" s="1" t="s">
        <v>1172</v>
      </c>
      <c r="D56" s="1">
        <v>2023</v>
      </c>
      <c r="E56" s="1" t="s">
        <v>1173</v>
      </c>
      <c r="F56" s="1" t="s">
        <v>1174</v>
      </c>
      <c r="G56" s="1">
        <v>9</v>
      </c>
      <c r="H56" s="1">
        <v>2</v>
      </c>
      <c r="M56" s="1" t="s">
        <v>1175</v>
      </c>
      <c r="O56" s="1" t="s">
        <v>1176</v>
      </c>
      <c r="P56" s="3">
        <v>0</v>
      </c>
      <c r="Q56" s="3">
        <v>0.5</v>
      </c>
      <c r="R56" s="3">
        <v>0.5</v>
      </c>
      <c r="S56" s="3">
        <v>1</v>
      </c>
      <c r="T56" s="3">
        <f>SUM(Table145[[#This Row],[Relevence 0,1,0.5]:[Findings 0,1,0.5]])</f>
        <v>2</v>
      </c>
    </row>
    <row r="57" spans="1:20" ht="15" customHeight="1" x14ac:dyDescent="0.25">
      <c r="A57" s="1" t="s">
        <v>425</v>
      </c>
      <c r="B57" s="1" t="s">
        <v>14</v>
      </c>
      <c r="C57" s="1" t="s">
        <v>42</v>
      </c>
      <c r="D57" s="1">
        <v>2021</v>
      </c>
      <c r="E57" s="1" t="s">
        <v>43</v>
      </c>
      <c r="F57" s="1" t="s">
        <v>44</v>
      </c>
      <c r="M57" s="1" t="s">
        <v>46</v>
      </c>
      <c r="O57" s="1" t="s">
        <v>1180</v>
      </c>
      <c r="P57" s="3">
        <v>1</v>
      </c>
      <c r="Q57" s="3">
        <v>1</v>
      </c>
      <c r="R57" s="3">
        <v>1</v>
      </c>
      <c r="S57" s="3">
        <v>1</v>
      </c>
      <c r="T57" s="3">
        <f>SUM(Table145[[#This Row],[Relevence 0,1,0.5]:[Findings 0,1,0.5]])</f>
        <v>4</v>
      </c>
    </row>
    <row r="58" spans="1:20" ht="15" customHeight="1" x14ac:dyDescent="0.25">
      <c r="A58" s="1" t="s">
        <v>425</v>
      </c>
      <c r="B58" s="1" t="s">
        <v>14</v>
      </c>
      <c r="C58" s="1" t="s">
        <v>59</v>
      </c>
      <c r="D58" s="1">
        <v>2021</v>
      </c>
      <c r="E58" s="1" t="s">
        <v>60</v>
      </c>
      <c r="F58" s="1" t="s">
        <v>61</v>
      </c>
      <c r="G58" s="1">
        <v>128</v>
      </c>
      <c r="H58" s="1">
        <v>1</v>
      </c>
      <c r="I58" s="1" t="s">
        <v>953</v>
      </c>
      <c r="M58" s="1" t="s">
        <v>63</v>
      </c>
      <c r="O58" s="1" t="s">
        <v>1198</v>
      </c>
      <c r="P58" s="3">
        <v>1</v>
      </c>
      <c r="Q58" s="3">
        <v>1</v>
      </c>
      <c r="R58" s="3">
        <v>0.5</v>
      </c>
      <c r="S58" s="3">
        <v>1</v>
      </c>
      <c r="T58" s="3">
        <f>SUM(Table145[[#This Row],[Relevence 0,1,0.5]:[Findings 0,1,0.5]])</f>
        <v>3.5</v>
      </c>
    </row>
    <row r="59" spans="1:20" ht="15" customHeight="1" x14ac:dyDescent="0.25">
      <c r="A59" s="1" t="s">
        <v>425</v>
      </c>
      <c r="B59" s="1" t="s">
        <v>14</v>
      </c>
      <c r="C59" s="1" t="s">
        <v>1199</v>
      </c>
      <c r="D59" s="1">
        <v>2022</v>
      </c>
      <c r="E59" s="1" t="s">
        <v>66</v>
      </c>
      <c r="F59" s="1" t="s">
        <v>1200</v>
      </c>
      <c r="G59" s="1">
        <v>12</v>
      </c>
      <c r="H59" s="1">
        <v>3</v>
      </c>
      <c r="M59" s="1" t="s">
        <v>68</v>
      </c>
      <c r="O59" s="1" t="s">
        <v>1201</v>
      </c>
      <c r="P59" s="3">
        <v>1</v>
      </c>
      <c r="Q59" s="3">
        <v>1</v>
      </c>
      <c r="R59" s="3">
        <v>1</v>
      </c>
      <c r="S59" s="3">
        <v>1</v>
      </c>
      <c r="T59" s="3">
        <f>SUM(Table145[[#This Row],[Relevence 0,1,0.5]:[Findings 0,1,0.5]])</f>
        <v>4</v>
      </c>
    </row>
    <row r="60" spans="1:20" ht="15" customHeight="1" x14ac:dyDescent="0.25">
      <c r="A60" s="1" t="s">
        <v>425</v>
      </c>
      <c r="B60" s="1" t="s">
        <v>14</v>
      </c>
      <c r="C60" s="1" t="s">
        <v>1205</v>
      </c>
      <c r="D60" s="1">
        <v>2022</v>
      </c>
      <c r="E60" s="1" t="s">
        <v>1206</v>
      </c>
      <c r="F60" s="1" t="s">
        <v>148</v>
      </c>
      <c r="G60" s="1">
        <v>12</v>
      </c>
      <c r="H60" s="1">
        <v>7</v>
      </c>
      <c r="M60" s="1" t="s">
        <v>1207</v>
      </c>
      <c r="O60" s="1" t="s">
        <v>1208</v>
      </c>
      <c r="P60" s="3">
        <v>0</v>
      </c>
      <c r="Q60" s="3">
        <v>0.5</v>
      </c>
      <c r="R60" s="3">
        <v>0.5</v>
      </c>
      <c r="S60" s="3">
        <v>1</v>
      </c>
      <c r="T60" s="3">
        <f>SUM(Table145[[#This Row],[Relevence 0,1,0.5]:[Findings 0,1,0.5]])</f>
        <v>2</v>
      </c>
    </row>
    <row r="61" spans="1:20" ht="15" customHeight="1" x14ac:dyDescent="0.25">
      <c r="A61" s="1" t="s">
        <v>425</v>
      </c>
      <c r="B61" s="1" t="s">
        <v>14</v>
      </c>
      <c r="C61" s="1" t="s">
        <v>1209</v>
      </c>
      <c r="D61" s="1">
        <v>2021</v>
      </c>
      <c r="E61" s="1" t="s">
        <v>1210</v>
      </c>
      <c r="F61" s="1" t="s">
        <v>1211</v>
      </c>
      <c r="G61" s="1">
        <v>31</v>
      </c>
      <c r="H61" s="1">
        <v>2</v>
      </c>
      <c r="I61" s="1" t="s">
        <v>1212</v>
      </c>
      <c r="M61" s="1" t="s">
        <v>1213</v>
      </c>
      <c r="O61" s="1" t="s">
        <v>1214</v>
      </c>
      <c r="P61" s="3">
        <v>0</v>
      </c>
      <c r="Q61" s="3">
        <v>1</v>
      </c>
      <c r="R61" s="3">
        <v>0</v>
      </c>
      <c r="S61" s="3">
        <v>0.5</v>
      </c>
      <c r="T61" s="3">
        <f>SUM(Table145[[#This Row],[Relevence 0,1,0.5]:[Findings 0,1,0.5]])</f>
        <v>1.5</v>
      </c>
    </row>
    <row r="62" spans="1:20" ht="15" customHeight="1" x14ac:dyDescent="0.25">
      <c r="A62" s="1" t="s">
        <v>425</v>
      </c>
      <c r="B62" s="1" t="s">
        <v>14</v>
      </c>
      <c r="C62" s="1" t="s">
        <v>582</v>
      </c>
      <c r="D62" s="1">
        <v>2022</v>
      </c>
      <c r="E62" s="1" t="s">
        <v>586</v>
      </c>
      <c r="F62" s="1" t="s">
        <v>1215</v>
      </c>
      <c r="G62" s="1">
        <v>26</v>
      </c>
      <c r="H62" s="1">
        <v>4</v>
      </c>
      <c r="I62" s="1" t="s">
        <v>583</v>
      </c>
      <c r="M62" s="1" t="s">
        <v>585</v>
      </c>
      <c r="O62" s="1" t="s">
        <v>587</v>
      </c>
      <c r="P62" s="3">
        <v>0</v>
      </c>
      <c r="Q62" s="3">
        <v>0</v>
      </c>
      <c r="R62" s="3">
        <v>0.5</v>
      </c>
      <c r="S62" s="3">
        <v>1</v>
      </c>
      <c r="T62" s="3">
        <f>SUM(Table145[[#This Row],[Relevence 0,1,0.5]:[Findings 0,1,0.5]])</f>
        <v>1.5</v>
      </c>
    </row>
    <row r="63" spans="1:20" ht="15" customHeight="1" x14ac:dyDescent="0.25">
      <c r="A63" s="1" t="s">
        <v>425</v>
      </c>
      <c r="B63" s="1" t="s">
        <v>14</v>
      </c>
      <c r="C63" s="1" t="s">
        <v>1216</v>
      </c>
      <c r="D63" s="1">
        <v>2024</v>
      </c>
      <c r="E63" s="1" t="s">
        <v>1217</v>
      </c>
      <c r="F63" s="1" t="s">
        <v>1138</v>
      </c>
      <c r="G63" s="1">
        <v>36</v>
      </c>
      <c r="H63" s="1">
        <v>4</v>
      </c>
      <c r="I63" s="1" t="s">
        <v>1218</v>
      </c>
      <c r="M63" s="1" t="s">
        <v>1219</v>
      </c>
      <c r="O63" s="1" t="s">
        <v>1220</v>
      </c>
      <c r="P63" s="3">
        <v>0</v>
      </c>
      <c r="Q63" s="3">
        <v>0.5</v>
      </c>
      <c r="R63" s="3">
        <v>0.5</v>
      </c>
      <c r="S63" s="3">
        <v>1</v>
      </c>
      <c r="T63" s="3">
        <f>SUM(Table145[[#This Row],[Relevence 0,1,0.5]:[Findings 0,1,0.5]])</f>
        <v>2</v>
      </c>
    </row>
    <row r="64" spans="1:20" ht="15" customHeight="1" x14ac:dyDescent="0.25">
      <c r="A64" s="1" t="s">
        <v>425</v>
      </c>
      <c r="B64" s="1" t="s">
        <v>14</v>
      </c>
      <c r="C64" s="1" t="s">
        <v>1234</v>
      </c>
      <c r="D64" s="1">
        <v>2021</v>
      </c>
      <c r="E64" s="1" t="s">
        <v>1235</v>
      </c>
      <c r="F64" s="1" t="s">
        <v>1236</v>
      </c>
      <c r="G64" s="1">
        <v>8</v>
      </c>
      <c r="H64" s="1">
        <v>5</v>
      </c>
      <c r="M64" s="1" t="s">
        <v>1237</v>
      </c>
      <c r="O64" s="1" t="s">
        <v>1238</v>
      </c>
      <c r="P64" s="3">
        <v>0</v>
      </c>
      <c r="Q64" s="3">
        <v>1</v>
      </c>
      <c r="R64" s="3">
        <v>0</v>
      </c>
      <c r="S64" s="3">
        <v>0.5</v>
      </c>
      <c r="T64" s="3">
        <f>SUM(Table145[[#This Row],[Relevence 0,1,0.5]:[Findings 0,1,0.5]])</f>
        <v>1.5</v>
      </c>
    </row>
    <row r="65" spans="1:20" ht="15" customHeight="1" x14ac:dyDescent="0.25">
      <c r="A65" s="1" t="s">
        <v>425</v>
      </c>
      <c r="B65" s="1" t="s">
        <v>14</v>
      </c>
      <c r="C65" s="1" t="s">
        <v>602</v>
      </c>
      <c r="D65" s="1">
        <v>2021</v>
      </c>
      <c r="E65" s="1" t="s">
        <v>607</v>
      </c>
      <c r="F65" s="1" t="s">
        <v>1249</v>
      </c>
      <c r="G65" s="1">
        <v>6</v>
      </c>
      <c r="H65" s="1">
        <v>2</v>
      </c>
      <c r="I65" s="1" t="s">
        <v>604</v>
      </c>
      <c r="M65" s="1" t="s">
        <v>606</v>
      </c>
      <c r="O65" s="1" t="s">
        <v>608</v>
      </c>
      <c r="P65" s="3">
        <v>0</v>
      </c>
      <c r="Q65" s="3">
        <v>1</v>
      </c>
      <c r="R65" s="3">
        <v>1</v>
      </c>
      <c r="S65" s="3">
        <v>1</v>
      </c>
      <c r="T65" s="3">
        <f>SUM(Table145[[#This Row],[Relevence 0,1,0.5]:[Findings 0,1,0.5]])</f>
        <v>3</v>
      </c>
    </row>
    <row r="66" spans="1:20" ht="15" customHeight="1" x14ac:dyDescent="0.25">
      <c r="A66" s="1" t="s">
        <v>425</v>
      </c>
      <c r="B66" s="1" t="s">
        <v>14</v>
      </c>
      <c r="C66" s="1" t="s">
        <v>1250</v>
      </c>
      <c r="D66" s="1">
        <v>2020</v>
      </c>
      <c r="E66" s="1" t="s">
        <v>1251</v>
      </c>
      <c r="F66" s="1" t="s">
        <v>1252</v>
      </c>
      <c r="G66" s="1">
        <v>12</v>
      </c>
      <c r="H66" s="1">
        <v>19</v>
      </c>
      <c r="M66" s="1" t="s">
        <v>1253</v>
      </c>
      <c r="O66" s="1" t="s">
        <v>1254</v>
      </c>
      <c r="P66" s="3">
        <v>0</v>
      </c>
      <c r="Q66" s="3">
        <v>1</v>
      </c>
      <c r="R66" s="3">
        <v>0.5</v>
      </c>
      <c r="S66" s="3">
        <v>1</v>
      </c>
      <c r="T66" s="3">
        <f>SUM(Table145[[#This Row],[Relevence 0,1,0.5]:[Findings 0,1,0.5]])</f>
        <v>2.5</v>
      </c>
    </row>
    <row r="67" spans="1:20" ht="15" customHeight="1" x14ac:dyDescent="0.25">
      <c r="A67" s="1" t="s">
        <v>425</v>
      </c>
      <c r="B67" s="1" t="s">
        <v>14</v>
      </c>
      <c r="C67" s="1" t="s">
        <v>1255</v>
      </c>
      <c r="D67" s="1">
        <v>2023</v>
      </c>
      <c r="E67" s="1" t="s">
        <v>1256</v>
      </c>
      <c r="F67" s="1" t="s">
        <v>1257</v>
      </c>
      <c r="G67" s="1">
        <v>12</v>
      </c>
      <c r="H67" s="1">
        <v>13</v>
      </c>
      <c r="M67" s="1" t="s">
        <v>1258</v>
      </c>
      <c r="O67" s="1" t="s">
        <v>1259</v>
      </c>
      <c r="P67" s="3">
        <v>0</v>
      </c>
      <c r="Q67" s="3">
        <v>1</v>
      </c>
      <c r="R67" s="3">
        <v>1</v>
      </c>
      <c r="S67" s="3">
        <v>1</v>
      </c>
      <c r="T67" s="3">
        <f>SUM(Table145[[#This Row],[Relevence 0,1,0.5]:[Findings 0,1,0.5]])</f>
        <v>3</v>
      </c>
    </row>
    <row r="68" spans="1:20" ht="15" customHeight="1" x14ac:dyDescent="0.25">
      <c r="A68" s="1" t="s">
        <v>425</v>
      </c>
      <c r="B68" s="1" t="s">
        <v>14</v>
      </c>
      <c r="C68" s="1" t="s">
        <v>1260</v>
      </c>
      <c r="D68" s="1">
        <v>2022</v>
      </c>
      <c r="E68" s="1" t="s">
        <v>991</v>
      </c>
      <c r="F68" s="1" t="s">
        <v>1261</v>
      </c>
      <c r="G68" s="1">
        <v>182</v>
      </c>
      <c r="M68" s="1" t="s">
        <v>1262</v>
      </c>
      <c r="O68" s="1" t="s">
        <v>1263</v>
      </c>
      <c r="P68" s="3">
        <v>0</v>
      </c>
      <c r="Q68" s="3">
        <v>0</v>
      </c>
      <c r="R68" s="3">
        <v>0.5</v>
      </c>
      <c r="S68" s="3">
        <v>1</v>
      </c>
      <c r="T68" s="3">
        <f>SUM(Table145[[#This Row],[Relevence 0,1,0.5]:[Findings 0,1,0.5]])</f>
        <v>1.5</v>
      </c>
    </row>
    <row r="69" spans="1:20" ht="15" customHeight="1" x14ac:dyDescent="0.25">
      <c r="A69" s="1" t="s">
        <v>425</v>
      </c>
      <c r="B69" s="1" t="s">
        <v>14</v>
      </c>
      <c r="C69" s="1" t="s">
        <v>1264</v>
      </c>
      <c r="D69" s="1">
        <v>2021</v>
      </c>
      <c r="E69" s="1" t="s">
        <v>1265</v>
      </c>
      <c r="F69" s="1" t="s">
        <v>1266</v>
      </c>
      <c r="G69" s="1">
        <v>109</v>
      </c>
      <c r="H69" s="1">
        <v>1</v>
      </c>
      <c r="I69" s="1" t="s">
        <v>1267</v>
      </c>
      <c r="M69" s="1" t="s">
        <v>1268</v>
      </c>
      <c r="O69" s="1" t="s">
        <v>1269</v>
      </c>
      <c r="P69" s="3">
        <v>0</v>
      </c>
      <c r="Q69" s="3">
        <v>1</v>
      </c>
      <c r="R69" s="3">
        <v>0</v>
      </c>
      <c r="S69" s="3">
        <v>0.5</v>
      </c>
      <c r="T69" s="3">
        <f>SUM(Table145[[#This Row],[Relevence 0,1,0.5]:[Findings 0,1,0.5]])</f>
        <v>1.5</v>
      </c>
    </row>
    <row r="70" spans="1:20" ht="15" customHeight="1" x14ac:dyDescent="0.25">
      <c r="A70" s="1" t="s">
        <v>425</v>
      </c>
      <c r="B70" s="1" t="s">
        <v>14</v>
      </c>
      <c r="C70" s="1" t="s">
        <v>1278</v>
      </c>
      <c r="D70" s="1">
        <v>2022</v>
      </c>
      <c r="E70" s="1" t="s">
        <v>1279</v>
      </c>
      <c r="F70" s="1" t="s">
        <v>1280</v>
      </c>
      <c r="G70" s="1">
        <v>17</v>
      </c>
      <c r="H70" s="1">
        <v>7</v>
      </c>
      <c r="I70" s="1" t="s">
        <v>1281</v>
      </c>
      <c r="M70" s="1" t="s">
        <v>1282</v>
      </c>
      <c r="O70" s="1" t="s">
        <v>1283</v>
      </c>
      <c r="P70" s="3">
        <v>0</v>
      </c>
      <c r="Q70" s="3">
        <v>1</v>
      </c>
      <c r="R70" s="3">
        <v>0</v>
      </c>
      <c r="S70" s="3">
        <v>0.5</v>
      </c>
      <c r="T70" s="3">
        <f>SUM(Table145[[#This Row],[Relevence 0,1,0.5]:[Findings 0,1,0.5]])</f>
        <v>1.5</v>
      </c>
    </row>
    <row r="71" spans="1:20" ht="15" customHeight="1" x14ac:dyDescent="0.25">
      <c r="A71" s="1" t="s">
        <v>425</v>
      </c>
      <c r="B71" s="1" t="s">
        <v>14</v>
      </c>
      <c r="C71" s="1" t="s">
        <v>122</v>
      </c>
      <c r="D71" s="1">
        <v>2021</v>
      </c>
      <c r="E71" s="1" t="s">
        <v>123</v>
      </c>
      <c r="F71" s="1" t="s">
        <v>17</v>
      </c>
      <c r="G71" s="1">
        <v>9</v>
      </c>
      <c r="I71" s="1" t="s">
        <v>392</v>
      </c>
      <c r="M71" s="1" t="s">
        <v>125</v>
      </c>
      <c r="O71" s="1" t="s">
        <v>1307</v>
      </c>
      <c r="P71" s="3">
        <v>1</v>
      </c>
      <c r="Q71" s="3">
        <v>1</v>
      </c>
      <c r="R71" s="3">
        <v>1</v>
      </c>
      <c r="S71" s="3">
        <v>1</v>
      </c>
      <c r="T71" s="3">
        <f>SUM(Table145[[#This Row],[Relevence 0,1,0.5]:[Findings 0,1,0.5]])</f>
        <v>4</v>
      </c>
    </row>
    <row r="72" spans="1:20" ht="15" customHeight="1" x14ac:dyDescent="0.25">
      <c r="A72" s="1" t="s">
        <v>425</v>
      </c>
      <c r="B72" s="1" t="s">
        <v>14</v>
      </c>
      <c r="C72" s="1" t="s">
        <v>135</v>
      </c>
      <c r="D72" s="1">
        <v>2023</v>
      </c>
      <c r="E72" s="1" t="s">
        <v>136</v>
      </c>
      <c r="F72" s="1" t="s">
        <v>137</v>
      </c>
      <c r="M72" s="1" t="s">
        <v>138</v>
      </c>
      <c r="O72" s="1" t="s">
        <v>1313</v>
      </c>
      <c r="P72" s="3">
        <v>1</v>
      </c>
      <c r="Q72" s="3">
        <v>0.5</v>
      </c>
      <c r="R72" s="3">
        <v>0.5</v>
      </c>
      <c r="S72" s="3">
        <v>1</v>
      </c>
      <c r="T72" s="3">
        <f>SUM(Table145[[#This Row],[Relevence 0,1,0.5]:[Findings 0,1,0.5]])</f>
        <v>3</v>
      </c>
    </row>
    <row r="73" spans="1:20" ht="15" customHeight="1" x14ac:dyDescent="0.25">
      <c r="A73" s="1" t="s">
        <v>425</v>
      </c>
      <c r="B73" s="1" t="s">
        <v>14</v>
      </c>
      <c r="C73" s="1" t="s">
        <v>1318</v>
      </c>
      <c r="D73" s="1">
        <v>2022</v>
      </c>
      <c r="E73" s="1" t="s">
        <v>1064</v>
      </c>
      <c r="F73" s="1" t="s">
        <v>1319</v>
      </c>
      <c r="G73" s="1">
        <v>89</v>
      </c>
      <c r="I73" s="1" t="s">
        <v>1066</v>
      </c>
      <c r="M73" s="1" t="s">
        <v>1320</v>
      </c>
      <c r="O73" s="1" t="s">
        <v>1321</v>
      </c>
      <c r="P73" s="3">
        <v>0</v>
      </c>
      <c r="Q73" s="3">
        <v>1</v>
      </c>
      <c r="R73" s="3">
        <v>0</v>
      </c>
      <c r="S73" s="3">
        <v>0.5</v>
      </c>
      <c r="T73" s="3">
        <f>SUM(Table145[[#This Row],[Relevence 0,1,0.5]:[Findings 0,1,0.5]])</f>
        <v>1.5</v>
      </c>
    </row>
    <row r="74" spans="1:20" ht="15" customHeight="1" x14ac:dyDescent="0.25">
      <c r="A74" s="1" t="s">
        <v>425</v>
      </c>
      <c r="B74" s="1" t="s">
        <v>14</v>
      </c>
      <c r="C74" s="1" t="s">
        <v>146</v>
      </c>
      <c r="D74" s="1">
        <v>2022</v>
      </c>
      <c r="E74" s="1" t="s">
        <v>147</v>
      </c>
      <c r="F74" s="1" t="s">
        <v>148</v>
      </c>
      <c r="G74" s="1">
        <v>12</v>
      </c>
      <c r="H74" s="1">
        <v>1</v>
      </c>
      <c r="M74" s="1" t="s">
        <v>150</v>
      </c>
      <c r="O74" s="1" t="s">
        <v>1322</v>
      </c>
      <c r="P74" s="3">
        <v>1</v>
      </c>
      <c r="Q74" s="3">
        <v>1</v>
      </c>
      <c r="R74" s="3">
        <v>1</v>
      </c>
      <c r="S74" s="3">
        <v>1</v>
      </c>
      <c r="T74" s="3">
        <f>SUM(Table145[[#This Row],[Relevence 0,1,0.5]:[Findings 0,1,0.5]])</f>
        <v>4</v>
      </c>
    </row>
    <row r="75" spans="1:20" ht="15" customHeight="1" x14ac:dyDescent="0.25">
      <c r="A75" s="1" t="s">
        <v>425</v>
      </c>
      <c r="B75" s="1" t="s">
        <v>14</v>
      </c>
      <c r="C75" s="1" t="s">
        <v>1323</v>
      </c>
      <c r="D75" s="1">
        <v>2022</v>
      </c>
      <c r="E75" s="1" t="s">
        <v>1324</v>
      </c>
      <c r="F75" s="1" t="s">
        <v>1325</v>
      </c>
      <c r="G75" s="1">
        <v>16</v>
      </c>
      <c r="H75" s="1">
        <v>1</v>
      </c>
      <c r="M75" s="1" t="s">
        <v>1326</v>
      </c>
      <c r="O75" s="1" t="s">
        <v>1327</v>
      </c>
      <c r="P75" s="3">
        <v>0</v>
      </c>
      <c r="Q75" s="3">
        <v>1</v>
      </c>
      <c r="R75" s="3">
        <v>0.5</v>
      </c>
      <c r="S75" s="3">
        <v>1</v>
      </c>
      <c r="T75" s="3">
        <f>SUM(Table145[[#This Row],[Relevence 0,1,0.5]:[Findings 0,1,0.5]])</f>
        <v>2.5</v>
      </c>
    </row>
    <row r="76" spans="1:20" ht="15" customHeight="1" x14ac:dyDescent="0.25">
      <c r="A76" s="1" t="s">
        <v>425</v>
      </c>
      <c r="B76" s="1" t="s">
        <v>14</v>
      </c>
      <c r="C76" s="1" t="s">
        <v>645</v>
      </c>
      <c r="D76" s="1">
        <v>2023</v>
      </c>
      <c r="E76" s="1" t="s">
        <v>649</v>
      </c>
      <c r="F76" s="1" t="s">
        <v>1353</v>
      </c>
      <c r="G76" s="1">
        <v>11</v>
      </c>
      <c r="I76" s="1" t="s">
        <v>646</v>
      </c>
      <c r="M76" s="1" t="s">
        <v>648</v>
      </c>
      <c r="O76" s="1" t="s">
        <v>650</v>
      </c>
      <c r="P76" s="3">
        <v>0</v>
      </c>
      <c r="Q76" s="3">
        <v>1</v>
      </c>
      <c r="R76" s="3">
        <v>0.5</v>
      </c>
      <c r="S76" s="3">
        <v>1</v>
      </c>
      <c r="T76" s="3">
        <f>SUM(Table145[[#This Row],[Relevence 0,1,0.5]:[Findings 0,1,0.5]])</f>
        <v>2.5</v>
      </c>
    </row>
    <row r="77" spans="1:20" ht="15" customHeight="1" x14ac:dyDescent="0.25">
      <c r="A77" s="1" t="s">
        <v>425</v>
      </c>
      <c r="B77" s="1" t="s">
        <v>14</v>
      </c>
      <c r="C77" s="1" t="s">
        <v>156</v>
      </c>
      <c r="D77" s="1">
        <v>2022</v>
      </c>
      <c r="E77" s="1" t="s">
        <v>157</v>
      </c>
      <c r="F77" s="1" t="s">
        <v>1359</v>
      </c>
      <c r="G77" s="1">
        <v>39</v>
      </c>
      <c r="H77" s="1">
        <v>7</v>
      </c>
      <c r="M77" s="1" t="s">
        <v>159</v>
      </c>
      <c r="O77" s="1" t="s">
        <v>1360</v>
      </c>
      <c r="P77" s="3">
        <v>1</v>
      </c>
      <c r="Q77" s="3">
        <v>1</v>
      </c>
      <c r="R77" s="3">
        <v>1</v>
      </c>
      <c r="S77" s="3">
        <v>1</v>
      </c>
      <c r="T77" s="3">
        <f>SUM(Table145[[#This Row],[Relevence 0,1,0.5]:[Findings 0,1,0.5]])</f>
        <v>4</v>
      </c>
    </row>
    <row r="78" spans="1:20" ht="15" customHeight="1" x14ac:dyDescent="0.25">
      <c r="A78" s="1" t="s">
        <v>425</v>
      </c>
      <c r="B78" s="1" t="s">
        <v>14</v>
      </c>
      <c r="C78" s="1" t="s">
        <v>1361</v>
      </c>
      <c r="D78" s="1">
        <v>2023</v>
      </c>
      <c r="E78" s="1" t="s">
        <v>1362</v>
      </c>
      <c r="F78" s="1" t="s">
        <v>137</v>
      </c>
      <c r="M78" s="1" t="s">
        <v>1363</v>
      </c>
      <c r="O78" s="1" t="s">
        <v>1364</v>
      </c>
      <c r="P78" s="3">
        <v>0</v>
      </c>
      <c r="Q78" s="3">
        <v>1</v>
      </c>
      <c r="R78" s="3">
        <v>0.5</v>
      </c>
      <c r="S78" s="3">
        <v>1</v>
      </c>
      <c r="T78" s="3">
        <f>SUM(Table145[[#This Row],[Relevence 0,1,0.5]:[Findings 0,1,0.5]])</f>
        <v>2.5</v>
      </c>
    </row>
    <row r="79" spans="1:20" ht="15" customHeight="1" x14ac:dyDescent="0.25">
      <c r="A79" s="1" t="s">
        <v>425</v>
      </c>
      <c r="B79" s="1" t="s">
        <v>14</v>
      </c>
      <c r="C79" s="1" t="s">
        <v>167</v>
      </c>
      <c r="D79" s="1">
        <v>2022</v>
      </c>
      <c r="E79" s="1" t="s">
        <v>168</v>
      </c>
      <c r="F79" s="1" t="s">
        <v>17</v>
      </c>
      <c r="G79" s="1">
        <v>10</v>
      </c>
      <c r="I79" s="1" t="s">
        <v>1369</v>
      </c>
      <c r="M79" s="1" t="s">
        <v>170</v>
      </c>
      <c r="O79" s="1" t="s">
        <v>1370</v>
      </c>
      <c r="P79" s="3">
        <v>1</v>
      </c>
      <c r="Q79" s="3">
        <v>1</v>
      </c>
      <c r="R79" s="3">
        <v>1</v>
      </c>
      <c r="S79" s="3">
        <v>1</v>
      </c>
      <c r="T79" s="3">
        <f>SUM(Table145[[#This Row],[Relevence 0,1,0.5]:[Findings 0,1,0.5]])</f>
        <v>4</v>
      </c>
    </row>
    <row r="80" spans="1:20" ht="15" customHeight="1" x14ac:dyDescent="0.25">
      <c r="A80" s="1" t="s">
        <v>425</v>
      </c>
      <c r="B80" s="1" t="s">
        <v>14</v>
      </c>
      <c r="C80" s="1" t="s">
        <v>1373</v>
      </c>
      <c r="D80" s="1">
        <v>2022</v>
      </c>
      <c r="E80" s="1" t="s">
        <v>1374</v>
      </c>
      <c r="F80" s="1" t="s">
        <v>1375</v>
      </c>
      <c r="G80" s="1">
        <v>188</v>
      </c>
      <c r="M80" s="1" t="s">
        <v>1376</v>
      </c>
      <c r="O80" s="1" t="s">
        <v>1377</v>
      </c>
      <c r="P80" s="3">
        <v>0</v>
      </c>
      <c r="Q80" s="3">
        <v>0.5</v>
      </c>
      <c r="R80" s="3">
        <v>0.5</v>
      </c>
      <c r="S80" s="3">
        <v>1</v>
      </c>
      <c r="T80" s="3">
        <f>SUM(Table145[[#This Row],[Relevence 0,1,0.5]:[Findings 0,1,0.5]])</f>
        <v>2</v>
      </c>
    </row>
    <row r="81" spans="1:20" ht="15" customHeight="1" x14ac:dyDescent="0.25">
      <c r="A81" s="1" t="s">
        <v>425</v>
      </c>
      <c r="B81" s="1" t="s">
        <v>14</v>
      </c>
      <c r="C81" s="1" t="s">
        <v>1390</v>
      </c>
      <c r="D81" s="1">
        <v>2024</v>
      </c>
      <c r="E81" s="1" t="s">
        <v>1391</v>
      </c>
      <c r="F81" s="1" t="s">
        <v>1392</v>
      </c>
      <c r="G81" s="1">
        <v>181</v>
      </c>
      <c r="M81" s="1" t="s">
        <v>1393</v>
      </c>
      <c r="O81" s="1" t="s">
        <v>1394</v>
      </c>
      <c r="P81" s="3">
        <v>0</v>
      </c>
      <c r="Q81" s="3">
        <v>1</v>
      </c>
      <c r="R81" s="3">
        <v>0.5</v>
      </c>
      <c r="S81" s="3">
        <v>1</v>
      </c>
      <c r="T81" s="3">
        <f>SUM(Table145[[#This Row],[Relevence 0,1,0.5]:[Findings 0,1,0.5]])</f>
        <v>2.5</v>
      </c>
    </row>
    <row r="82" spans="1:20" ht="15" customHeight="1" x14ac:dyDescent="0.25">
      <c r="A82" s="1" t="s">
        <v>425</v>
      </c>
      <c r="B82" s="1" t="s">
        <v>14</v>
      </c>
      <c r="C82" s="1" t="s">
        <v>692</v>
      </c>
      <c r="D82" s="1">
        <v>2022</v>
      </c>
      <c r="E82" s="1" t="s">
        <v>696</v>
      </c>
      <c r="F82" s="1" t="s">
        <v>1398</v>
      </c>
      <c r="G82" s="1">
        <v>41</v>
      </c>
      <c r="H82" s="1">
        <v>9</v>
      </c>
      <c r="I82" s="1" t="s">
        <v>693</v>
      </c>
      <c r="M82" s="1" t="s">
        <v>695</v>
      </c>
      <c r="O82" s="1" t="s">
        <v>697</v>
      </c>
      <c r="P82" s="3">
        <v>0</v>
      </c>
      <c r="Q82" s="3">
        <v>1</v>
      </c>
      <c r="R82" s="3">
        <v>0.5</v>
      </c>
      <c r="S82" s="3">
        <v>1</v>
      </c>
      <c r="T82" s="3">
        <f>SUM(Table145[[#This Row],[Relevence 0,1,0.5]:[Findings 0,1,0.5]])</f>
        <v>2.5</v>
      </c>
    </row>
    <row r="83" spans="1:20" ht="15" customHeight="1" x14ac:dyDescent="0.25">
      <c r="A83" s="1" t="s">
        <v>425</v>
      </c>
      <c r="B83" s="1" t="s">
        <v>14</v>
      </c>
      <c r="C83" s="1" t="s">
        <v>1399</v>
      </c>
      <c r="D83" s="1">
        <v>2023</v>
      </c>
      <c r="E83" s="1" t="s">
        <v>1400</v>
      </c>
      <c r="F83" s="1" t="s">
        <v>1350</v>
      </c>
      <c r="G83" s="1">
        <v>13</v>
      </c>
      <c r="H83" s="1">
        <v>1</v>
      </c>
      <c r="I83" s="24"/>
      <c r="M83" s="1" t="s">
        <v>1401</v>
      </c>
      <c r="O83" s="1" t="s">
        <v>1402</v>
      </c>
      <c r="P83" s="3">
        <v>0</v>
      </c>
      <c r="Q83" s="3">
        <v>0.5</v>
      </c>
      <c r="R83" s="3">
        <v>0.5</v>
      </c>
      <c r="S83" s="3">
        <v>0</v>
      </c>
      <c r="T83" s="3">
        <f>SUM(Table145[[#This Row],[Relevence 0,1,0.5]:[Findings 0,1,0.5]])</f>
        <v>1</v>
      </c>
    </row>
    <row r="84" spans="1:20" ht="15" customHeight="1" x14ac:dyDescent="0.25">
      <c r="A84" s="1" t="s">
        <v>425</v>
      </c>
      <c r="B84" s="1" t="s">
        <v>14</v>
      </c>
      <c r="C84" s="1" t="s">
        <v>1412</v>
      </c>
      <c r="D84" s="1">
        <v>2022</v>
      </c>
      <c r="E84" s="1" t="s">
        <v>1413</v>
      </c>
      <c r="F84" s="1" t="s">
        <v>224</v>
      </c>
      <c r="G84" s="1">
        <v>22</v>
      </c>
      <c r="H84" s="1">
        <v>23</v>
      </c>
      <c r="M84" s="1" t="s">
        <v>1414</v>
      </c>
      <c r="O84" s="1" t="s">
        <v>1415</v>
      </c>
      <c r="P84" s="3">
        <v>0</v>
      </c>
      <c r="Q84" s="3">
        <v>0.5</v>
      </c>
      <c r="R84" s="3">
        <v>0.5</v>
      </c>
      <c r="S84" s="3">
        <v>0</v>
      </c>
      <c r="T84" s="3">
        <f>SUM(Table145[[#This Row],[Relevence 0,1,0.5]:[Findings 0,1,0.5]])</f>
        <v>1</v>
      </c>
    </row>
    <row r="85" spans="1:20" ht="15" customHeight="1" x14ac:dyDescent="0.25">
      <c r="A85" s="1" t="s">
        <v>425</v>
      </c>
      <c r="B85" s="1" t="s">
        <v>14</v>
      </c>
      <c r="C85" s="1" t="s">
        <v>436</v>
      </c>
      <c r="D85" s="1">
        <v>2023</v>
      </c>
      <c r="E85" s="1" t="s">
        <v>1442</v>
      </c>
      <c r="F85" s="1" t="s">
        <v>1236</v>
      </c>
      <c r="G85" s="1">
        <v>10</v>
      </c>
      <c r="H85" s="1">
        <v>5</v>
      </c>
      <c r="M85" s="1" t="s">
        <v>1443</v>
      </c>
      <c r="O85" s="1" t="s">
        <v>1444</v>
      </c>
      <c r="P85" s="3">
        <v>0</v>
      </c>
      <c r="Q85" s="3">
        <v>1</v>
      </c>
      <c r="R85" s="3">
        <v>0.5</v>
      </c>
      <c r="S85" s="3">
        <v>1</v>
      </c>
      <c r="T85" s="3">
        <f>SUM(Table145[[#This Row],[Relevence 0,1,0.5]:[Findings 0,1,0.5]])</f>
        <v>2.5</v>
      </c>
    </row>
    <row r="86" spans="1:20" ht="15" customHeight="1" x14ac:dyDescent="0.25">
      <c r="A86" s="1" t="s">
        <v>425</v>
      </c>
      <c r="B86" s="1" t="s">
        <v>14</v>
      </c>
      <c r="C86" s="1" t="s">
        <v>741</v>
      </c>
      <c r="D86" s="1">
        <v>2021</v>
      </c>
      <c r="E86" s="1" t="s">
        <v>746</v>
      </c>
      <c r="F86" s="1" t="s">
        <v>1449</v>
      </c>
      <c r="G86" s="1">
        <v>34</v>
      </c>
      <c r="H86" s="1">
        <v>2</v>
      </c>
      <c r="I86" s="1" t="s">
        <v>743</v>
      </c>
      <c r="M86" s="1" t="s">
        <v>745</v>
      </c>
      <c r="O86" s="1" t="s">
        <v>1450</v>
      </c>
      <c r="P86" s="3">
        <v>0</v>
      </c>
      <c r="Q86" s="3">
        <v>1</v>
      </c>
      <c r="R86" s="3">
        <v>0.5</v>
      </c>
      <c r="S86" s="3">
        <v>1</v>
      </c>
      <c r="T86" s="3">
        <f>SUM(Table145[[#This Row],[Relevence 0,1,0.5]:[Findings 0,1,0.5]])</f>
        <v>2.5</v>
      </c>
    </row>
    <row r="87" spans="1:20" ht="15" customHeight="1" x14ac:dyDescent="0.25">
      <c r="A87" s="1" t="s">
        <v>425</v>
      </c>
      <c r="B87" s="1" t="s">
        <v>14</v>
      </c>
      <c r="C87" s="1" t="s">
        <v>1451</v>
      </c>
      <c r="D87" s="1">
        <v>2022</v>
      </c>
      <c r="E87" s="1" t="s">
        <v>1452</v>
      </c>
      <c r="F87" s="1" t="s">
        <v>218</v>
      </c>
      <c r="G87" s="1">
        <v>39</v>
      </c>
      <c r="H87" s="1">
        <v>5</v>
      </c>
      <c r="I87" s="1" t="s">
        <v>1453</v>
      </c>
      <c r="M87" s="1" t="s">
        <v>1454</v>
      </c>
      <c r="O87" s="1" t="s">
        <v>1455</v>
      </c>
      <c r="P87" s="3">
        <v>0</v>
      </c>
      <c r="Q87" s="3">
        <v>1</v>
      </c>
      <c r="R87" s="3">
        <v>0.5</v>
      </c>
      <c r="S87" s="3">
        <v>1</v>
      </c>
      <c r="T87" s="3">
        <f>SUM(Table145[[#This Row],[Relevence 0,1,0.5]:[Findings 0,1,0.5]])</f>
        <v>2.5</v>
      </c>
    </row>
    <row r="88" spans="1:20" ht="15" customHeight="1" x14ac:dyDescent="0.25">
      <c r="A88" s="1" t="s">
        <v>425</v>
      </c>
      <c r="B88" s="1" t="s">
        <v>14</v>
      </c>
      <c r="C88" s="1" t="s">
        <v>1456</v>
      </c>
      <c r="D88" s="1">
        <v>2023</v>
      </c>
      <c r="E88" s="1" t="s">
        <v>1457</v>
      </c>
      <c r="F88" s="1" t="s">
        <v>1458</v>
      </c>
      <c r="G88" s="1">
        <v>221</v>
      </c>
      <c r="H88" s="1">
        <v>3</v>
      </c>
      <c r="I88" s="1" t="s">
        <v>1459</v>
      </c>
      <c r="M88" s="1" t="s">
        <v>1460</v>
      </c>
      <c r="P88" s="3">
        <v>0</v>
      </c>
      <c r="Q88" s="3">
        <v>0.5</v>
      </c>
      <c r="R88" s="3">
        <v>0.5</v>
      </c>
      <c r="S88" s="3">
        <v>1</v>
      </c>
      <c r="T88" s="3">
        <f>SUM(Table145[[#This Row],[Relevence 0,1,0.5]:[Findings 0,1,0.5]])</f>
        <v>2</v>
      </c>
    </row>
    <row r="89" spans="1:20" ht="15" customHeight="1" x14ac:dyDescent="0.25">
      <c r="A89" s="1" t="s">
        <v>425</v>
      </c>
      <c r="B89" s="1" t="s">
        <v>14</v>
      </c>
      <c r="C89" s="1" t="s">
        <v>200</v>
      </c>
      <c r="D89" s="1">
        <v>2022</v>
      </c>
      <c r="E89" s="1" t="s">
        <v>201</v>
      </c>
      <c r="F89" s="1" t="s">
        <v>202</v>
      </c>
      <c r="G89" s="1" t="s">
        <v>1466</v>
      </c>
      <c r="H89" s="1">
        <v>8</v>
      </c>
      <c r="I89" s="1" t="s">
        <v>1467</v>
      </c>
      <c r="M89" s="1" t="s">
        <v>204</v>
      </c>
      <c r="O89" s="1" t="s">
        <v>1468</v>
      </c>
      <c r="P89" s="3">
        <v>1</v>
      </c>
      <c r="Q89" s="3">
        <v>1</v>
      </c>
      <c r="R89" s="3">
        <v>1</v>
      </c>
      <c r="S89" s="3">
        <v>1</v>
      </c>
      <c r="T89" s="3">
        <f>SUM(Table145[[#This Row],[Relevence 0,1,0.5]:[Findings 0,1,0.5]])</f>
        <v>4</v>
      </c>
    </row>
    <row r="90" spans="1:20" ht="15" customHeight="1" x14ac:dyDescent="0.25">
      <c r="A90" s="1" t="s">
        <v>425</v>
      </c>
      <c r="B90" s="1" t="s">
        <v>14</v>
      </c>
      <c r="C90" s="1" t="s">
        <v>1475</v>
      </c>
      <c r="D90" s="1">
        <v>2023</v>
      </c>
      <c r="E90" s="1" t="s">
        <v>1476</v>
      </c>
      <c r="F90" s="1" t="s">
        <v>224</v>
      </c>
      <c r="G90" s="1">
        <v>23</v>
      </c>
      <c r="H90" s="1">
        <v>8</v>
      </c>
      <c r="M90" s="1" t="s">
        <v>1477</v>
      </c>
      <c r="O90" s="1" t="s">
        <v>1478</v>
      </c>
      <c r="P90" s="3">
        <v>0</v>
      </c>
      <c r="Q90" s="3">
        <v>0.5</v>
      </c>
      <c r="R90" s="3">
        <v>0.5</v>
      </c>
      <c r="S90" s="3">
        <v>1</v>
      </c>
      <c r="T90" s="3">
        <f>SUM(Table145[[#This Row],[Relevence 0,1,0.5]:[Findings 0,1,0.5]])</f>
        <v>2</v>
      </c>
    </row>
    <row r="91" spans="1:20" ht="15" customHeight="1" x14ac:dyDescent="0.25">
      <c r="A91" s="1" t="s">
        <v>425</v>
      </c>
      <c r="B91" s="1" t="s">
        <v>14</v>
      </c>
      <c r="C91" s="1" t="s">
        <v>1484</v>
      </c>
      <c r="D91" s="1">
        <v>2022</v>
      </c>
      <c r="E91" s="1" t="s">
        <v>1485</v>
      </c>
      <c r="F91" s="1" t="s">
        <v>1486</v>
      </c>
      <c r="G91" s="1">
        <v>30</v>
      </c>
      <c r="H91" s="1">
        <v>4</v>
      </c>
      <c r="I91" s="1" t="s">
        <v>1487</v>
      </c>
      <c r="M91" s="1" t="s">
        <v>1488</v>
      </c>
      <c r="O91" s="1" t="s">
        <v>1489</v>
      </c>
      <c r="P91" s="3">
        <v>0</v>
      </c>
      <c r="Q91" s="3">
        <v>0.5</v>
      </c>
      <c r="R91" s="3">
        <v>0.5</v>
      </c>
      <c r="S91" s="3">
        <v>1</v>
      </c>
      <c r="T91" s="3">
        <f>SUM(Table145[[#This Row],[Relevence 0,1,0.5]:[Findings 0,1,0.5]])</f>
        <v>2</v>
      </c>
    </row>
    <row r="92" spans="1:20" ht="15" customHeight="1" x14ac:dyDescent="0.25">
      <c r="A92" s="1" t="s">
        <v>425</v>
      </c>
      <c r="B92" s="1" t="s">
        <v>14</v>
      </c>
      <c r="C92" s="1" t="s">
        <v>216</v>
      </c>
      <c r="D92" s="1">
        <v>2022</v>
      </c>
      <c r="E92" s="1" t="s">
        <v>217</v>
      </c>
      <c r="F92" s="1" t="s">
        <v>218</v>
      </c>
      <c r="G92" s="1">
        <v>39</v>
      </c>
      <c r="H92" s="1">
        <v>5</v>
      </c>
      <c r="I92" s="1" t="s">
        <v>1490</v>
      </c>
      <c r="M92" s="1" t="s">
        <v>220</v>
      </c>
      <c r="O92" s="1" t="s">
        <v>1491</v>
      </c>
      <c r="P92" s="3">
        <v>1</v>
      </c>
      <c r="Q92" s="3">
        <v>1</v>
      </c>
      <c r="R92" s="3">
        <v>1</v>
      </c>
      <c r="S92" s="3">
        <v>1</v>
      </c>
      <c r="T92" s="3">
        <f>SUM(Table145[[#This Row],[Relevence 0,1,0.5]:[Findings 0,1,0.5]])</f>
        <v>4</v>
      </c>
    </row>
    <row r="93" spans="1:20" ht="15" customHeight="1" x14ac:dyDescent="0.25">
      <c r="A93" s="1" t="s">
        <v>425</v>
      </c>
      <c r="B93" s="1" t="s">
        <v>14</v>
      </c>
      <c r="C93" s="1" t="s">
        <v>1496</v>
      </c>
      <c r="D93" s="1">
        <v>2023</v>
      </c>
      <c r="E93" s="1" t="s">
        <v>1497</v>
      </c>
      <c r="F93" s="1" t="s">
        <v>1498</v>
      </c>
      <c r="G93" s="1">
        <v>7</v>
      </c>
      <c r="H93" s="1">
        <v>2</v>
      </c>
      <c r="M93" s="1" t="s">
        <v>1499</v>
      </c>
      <c r="O93" s="1" t="s">
        <v>1500</v>
      </c>
      <c r="P93" s="3">
        <v>0</v>
      </c>
      <c r="Q93" s="3">
        <v>1</v>
      </c>
      <c r="R93" s="3">
        <v>0</v>
      </c>
      <c r="S93" s="3">
        <v>0.5</v>
      </c>
      <c r="T93" s="3">
        <f>SUM(Table145[[#This Row],[Relevence 0,1,0.5]:[Findings 0,1,0.5]])</f>
        <v>1.5</v>
      </c>
    </row>
    <row r="94" spans="1:20" ht="15" customHeight="1" x14ac:dyDescent="0.25">
      <c r="A94" s="1" t="s">
        <v>425</v>
      </c>
      <c r="B94" s="1" t="s">
        <v>14</v>
      </c>
      <c r="C94" s="1" t="s">
        <v>222</v>
      </c>
      <c r="D94" s="1">
        <v>2021</v>
      </c>
      <c r="E94" s="1" t="s">
        <v>223</v>
      </c>
      <c r="F94" s="1" t="s">
        <v>224</v>
      </c>
      <c r="G94" s="1">
        <v>21</v>
      </c>
      <c r="H94" s="1">
        <v>16</v>
      </c>
      <c r="M94" s="1" t="s">
        <v>226</v>
      </c>
      <c r="O94" s="1" t="s">
        <v>1501</v>
      </c>
      <c r="P94" s="3">
        <v>1</v>
      </c>
      <c r="Q94" s="3">
        <v>1</v>
      </c>
      <c r="R94" s="3">
        <v>1</v>
      </c>
      <c r="S94" s="3">
        <v>1</v>
      </c>
      <c r="T94" s="3">
        <f>SUM(Table145[[#This Row],[Relevence 0,1,0.5]:[Findings 0,1,0.5]])</f>
        <v>4</v>
      </c>
    </row>
    <row r="95" spans="1:20" ht="15" customHeight="1" x14ac:dyDescent="0.25">
      <c r="A95" s="1" t="s">
        <v>425</v>
      </c>
      <c r="B95" s="1" t="s">
        <v>14</v>
      </c>
      <c r="C95" s="1" t="s">
        <v>1502</v>
      </c>
      <c r="D95" s="1">
        <v>2022</v>
      </c>
      <c r="E95" s="1" t="s">
        <v>1503</v>
      </c>
      <c r="F95" s="1" t="s">
        <v>1504</v>
      </c>
      <c r="G95" s="1">
        <v>23</v>
      </c>
      <c r="H95" s="1">
        <v>4</v>
      </c>
      <c r="I95" s="1" t="s">
        <v>1505</v>
      </c>
      <c r="M95" s="1" t="s">
        <v>1506</v>
      </c>
      <c r="O95" s="1" t="s">
        <v>1507</v>
      </c>
      <c r="P95" s="3">
        <v>0</v>
      </c>
      <c r="Q95" s="3">
        <v>1</v>
      </c>
      <c r="R95" s="3">
        <v>0</v>
      </c>
      <c r="S95" s="3">
        <v>0.5</v>
      </c>
      <c r="T95" s="3">
        <f>SUM(Table145[[#This Row],[Relevence 0,1,0.5]:[Findings 0,1,0.5]])</f>
        <v>1.5</v>
      </c>
    </row>
    <row r="96" spans="1:20" ht="15" customHeight="1" x14ac:dyDescent="0.25">
      <c r="A96" s="1" t="s">
        <v>425</v>
      </c>
      <c r="B96" s="1" t="s">
        <v>14</v>
      </c>
      <c r="C96" s="1" t="s">
        <v>251</v>
      </c>
      <c r="D96" s="1">
        <v>2022</v>
      </c>
      <c r="E96" s="1" t="s">
        <v>252</v>
      </c>
      <c r="F96" s="1" t="s">
        <v>253</v>
      </c>
      <c r="G96" s="1">
        <v>54</v>
      </c>
      <c r="H96" s="1">
        <v>5</v>
      </c>
      <c r="I96" s="1" t="s">
        <v>1511</v>
      </c>
      <c r="M96" s="1" t="s">
        <v>254</v>
      </c>
      <c r="O96" s="1" t="s">
        <v>1512</v>
      </c>
      <c r="P96" s="3">
        <v>1</v>
      </c>
      <c r="Q96" s="3">
        <v>1</v>
      </c>
      <c r="R96" s="3">
        <v>1</v>
      </c>
      <c r="S96" s="3">
        <v>1</v>
      </c>
      <c r="T96" s="3">
        <f>SUM(Table145[[#This Row],[Relevence 0,1,0.5]:[Findings 0,1,0.5]])</f>
        <v>4</v>
      </c>
    </row>
    <row r="97" spans="1:20" ht="15" customHeight="1" x14ac:dyDescent="0.25">
      <c r="A97" s="1" t="s">
        <v>425</v>
      </c>
      <c r="B97" s="1" t="s">
        <v>14</v>
      </c>
      <c r="C97" s="1" t="s">
        <v>266</v>
      </c>
      <c r="D97" s="1">
        <v>2023</v>
      </c>
      <c r="E97" s="1" t="s">
        <v>267</v>
      </c>
      <c r="F97" s="1" t="s">
        <v>268</v>
      </c>
      <c r="G97" s="1">
        <v>132</v>
      </c>
      <c r="M97" s="1" t="s">
        <v>270</v>
      </c>
      <c r="O97" s="1" t="s">
        <v>1531</v>
      </c>
      <c r="P97" s="3">
        <v>1</v>
      </c>
      <c r="Q97" s="3">
        <v>1</v>
      </c>
      <c r="R97" s="3">
        <v>1</v>
      </c>
      <c r="S97" s="3">
        <v>1</v>
      </c>
      <c r="T97" s="3">
        <f>SUM(Table145[[#This Row],[Relevence 0,1,0.5]:[Findings 0,1,0.5]])</f>
        <v>4</v>
      </c>
    </row>
    <row r="98" spans="1:20" ht="15" customHeight="1" x14ac:dyDescent="0.25">
      <c r="A98" s="1" t="s">
        <v>425</v>
      </c>
      <c r="B98" s="1" t="s">
        <v>14</v>
      </c>
      <c r="C98" s="1" t="s">
        <v>1536</v>
      </c>
      <c r="D98" s="1">
        <v>2023</v>
      </c>
      <c r="E98" s="1" t="s">
        <v>1537</v>
      </c>
      <c r="F98" s="1" t="s">
        <v>1538</v>
      </c>
      <c r="G98" s="1">
        <v>22</v>
      </c>
      <c r="H98" s="1">
        <v>1</v>
      </c>
      <c r="M98" s="1" t="s">
        <v>1539</v>
      </c>
      <c r="O98" s="1" t="s">
        <v>1540</v>
      </c>
      <c r="P98" s="3">
        <v>0</v>
      </c>
      <c r="Q98" s="3">
        <v>1</v>
      </c>
      <c r="R98" s="3">
        <v>0</v>
      </c>
      <c r="S98" s="3">
        <v>0.5</v>
      </c>
      <c r="T98" s="3">
        <f>SUM(Table145[[#This Row],[Relevence 0,1,0.5]:[Findings 0,1,0.5]])</f>
        <v>1.5</v>
      </c>
    </row>
    <row r="99" spans="1:20" ht="15" customHeight="1" x14ac:dyDescent="0.25">
      <c r="A99" s="1" t="s">
        <v>425</v>
      </c>
      <c r="B99" s="1" t="s">
        <v>14</v>
      </c>
      <c r="C99" s="1" t="s">
        <v>274</v>
      </c>
      <c r="D99" s="1">
        <v>2023</v>
      </c>
      <c r="E99" s="1" t="s">
        <v>275</v>
      </c>
      <c r="F99" s="1" t="s">
        <v>276</v>
      </c>
      <c r="G99" s="1">
        <v>48</v>
      </c>
      <c r="H99" s="1">
        <v>3</v>
      </c>
      <c r="M99" s="1" t="s">
        <v>277</v>
      </c>
      <c r="O99" s="1" t="s">
        <v>1541</v>
      </c>
      <c r="P99" s="3">
        <v>1</v>
      </c>
      <c r="Q99" s="3">
        <v>1</v>
      </c>
      <c r="R99" s="3">
        <v>1</v>
      </c>
      <c r="S99" s="3">
        <v>1</v>
      </c>
      <c r="T99" s="3">
        <f>SUM(Table145[[#This Row],[Relevence 0,1,0.5]:[Findings 0,1,0.5]])</f>
        <v>4</v>
      </c>
    </row>
    <row r="100" spans="1:20" ht="15" customHeight="1" x14ac:dyDescent="0.25">
      <c r="A100" s="1" t="s">
        <v>425</v>
      </c>
      <c r="B100" s="1" t="s">
        <v>14</v>
      </c>
      <c r="C100" s="1" t="s">
        <v>278</v>
      </c>
      <c r="D100" s="1">
        <v>2023</v>
      </c>
      <c r="E100" s="1" t="s">
        <v>279</v>
      </c>
      <c r="F100" s="1" t="s">
        <v>280</v>
      </c>
      <c r="G100" s="1">
        <v>53</v>
      </c>
      <c r="H100" s="1">
        <v>19</v>
      </c>
      <c r="I100" s="1" t="s">
        <v>1547</v>
      </c>
      <c r="M100" s="1" t="s">
        <v>281</v>
      </c>
      <c r="O100" s="1" t="s">
        <v>1548</v>
      </c>
      <c r="P100" s="3">
        <v>0.5</v>
      </c>
      <c r="Q100" s="3">
        <v>1</v>
      </c>
      <c r="R100" s="3">
        <v>0.5</v>
      </c>
      <c r="S100" s="3">
        <v>0.5</v>
      </c>
      <c r="T100" s="3">
        <f>SUM(Table145[[#This Row],[Relevence 0,1,0.5]:[Findings 0,1,0.5]])</f>
        <v>2.5</v>
      </c>
    </row>
    <row r="101" spans="1:20" ht="15" customHeight="1" x14ac:dyDescent="0.25">
      <c r="A101" s="1" t="s">
        <v>425</v>
      </c>
      <c r="B101" s="1" t="s">
        <v>1148</v>
      </c>
      <c r="C101" s="1" t="s">
        <v>1570</v>
      </c>
      <c r="D101" s="1">
        <v>2023</v>
      </c>
      <c r="E101" s="1" t="s">
        <v>794</v>
      </c>
      <c r="F101" s="1" t="s">
        <v>1571</v>
      </c>
      <c r="M101" s="1" t="s">
        <v>793</v>
      </c>
      <c r="O101" s="1" t="s">
        <v>1572</v>
      </c>
      <c r="P101" s="3">
        <v>0</v>
      </c>
      <c r="Q101" s="3">
        <v>0.5</v>
      </c>
      <c r="R101" s="3">
        <v>0</v>
      </c>
      <c r="S101" s="3">
        <v>0</v>
      </c>
      <c r="T101" s="3">
        <f>SUM(Table145[[#This Row],[Relevence 0,1,0.5]:[Findings 0,1,0.5]])</f>
        <v>0.5</v>
      </c>
    </row>
    <row r="102" spans="1:20" ht="15" customHeight="1" x14ac:dyDescent="0.25">
      <c r="A102" s="1" t="s">
        <v>425</v>
      </c>
      <c r="B102" s="1" t="s">
        <v>14</v>
      </c>
      <c r="C102" s="1" t="s">
        <v>305</v>
      </c>
      <c r="D102" s="1">
        <v>2023</v>
      </c>
      <c r="E102" s="1" t="s">
        <v>306</v>
      </c>
      <c r="F102" s="1" t="s">
        <v>1581</v>
      </c>
      <c r="M102" s="1" t="s">
        <v>308</v>
      </c>
      <c r="O102" s="1" t="s">
        <v>1582</v>
      </c>
      <c r="P102" s="3">
        <v>1</v>
      </c>
      <c r="Q102" s="3">
        <v>1</v>
      </c>
      <c r="R102" s="3">
        <v>1</v>
      </c>
      <c r="S102" s="3">
        <v>1</v>
      </c>
      <c r="T102" s="3">
        <f>SUM(Table145[[#This Row],[Relevence 0,1,0.5]:[Findings 0,1,0.5]])</f>
        <v>4</v>
      </c>
    </row>
    <row r="103" spans="1:20" ht="15" customHeight="1" x14ac:dyDescent="0.25">
      <c r="A103" s="1" t="s">
        <v>425</v>
      </c>
      <c r="B103" s="1" t="s">
        <v>14</v>
      </c>
      <c r="C103" s="1" t="s">
        <v>323</v>
      </c>
      <c r="D103" s="1">
        <v>2020</v>
      </c>
      <c r="E103" s="1" t="s">
        <v>324</v>
      </c>
      <c r="F103" s="1" t="s">
        <v>325</v>
      </c>
      <c r="G103" s="1">
        <v>128</v>
      </c>
      <c r="H103" s="1">
        <v>2</v>
      </c>
      <c r="I103" s="1" t="s">
        <v>1588</v>
      </c>
      <c r="M103" s="1" t="s">
        <v>327</v>
      </c>
      <c r="O103" s="1" t="s">
        <v>1589</v>
      </c>
      <c r="P103" s="3">
        <v>1</v>
      </c>
      <c r="Q103" s="3">
        <v>1</v>
      </c>
      <c r="R103" s="3">
        <v>0.5</v>
      </c>
      <c r="S103" s="3">
        <v>1</v>
      </c>
      <c r="T103" s="3">
        <f>SUM(Table145[[#This Row],[Relevence 0,1,0.5]:[Findings 0,1,0.5]])</f>
        <v>3.5</v>
      </c>
    </row>
    <row r="104" spans="1:20" ht="15" customHeight="1" x14ac:dyDescent="0.25">
      <c r="A104" s="1" t="s">
        <v>425</v>
      </c>
      <c r="B104" s="1" t="s">
        <v>14</v>
      </c>
      <c r="C104" s="1" t="s">
        <v>1600</v>
      </c>
      <c r="D104" s="1">
        <v>2023</v>
      </c>
      <c r="E104" s="1" t="s">
        <v>1601</v>
      </c>
      <c r="F104" s="1" t="s">
        <v>1236</v>
      </c>
      <c r="G104" s="1">
        <v>10</v>
      </c>
      <c r="H104" s="1">
        <v>5</v>
      </c>
      <c r="M104" s="1" t="s">
        <v>1602</v>
      </c>
      <c r="O104" s="1" t="s">
        <v>1603</v>
      </c>
      <c r="P104" s="3">
        <v>0</v>
      </c>
      <c r="Q104" s="3">
        <v>1</v>
      </c>
      <c r="R104" s="3">
        <v>0.5</v>
      </c>
      <c r="S104" s="3">
        <v>0.5</v>
      </c>
      <c r="T104" s="3">
        <f>SUM(Table145[[#This Row],[Relevence 0,1,0.5]:[Findings 0,1,0.5]])</f>
        <v>2</v>
      </c>
    </row>
    <row r="105" spans="1:20" ht="15" customHeight="1" x14ac:dyDescent="0.25">
      <c r="A105" s="1" t="s">
        <v>425</v>
      </c>
      <c r="B105" s="1" t="s">
        <v>14</v>
      </c>
      <c r="C105" s="1" t="s">
        <v>838</v>
      </c>
      <c r="D105" s="1">
        <v>2022</v>
      </c>
      <c r="E105" s="1" t="s">
        <v>843</v>
      </c>
      <c r="F105" s="1" t="s">
        <v>1606</v>
      </c>
      <c r="G105" s="1">
        <v>15</v>
      </c>
      <c r="I105" s="1" t="s">
        <v>840</v>
      </c>
      <c r="M105" s="1" t="s">
        <v>842</v>
      </c>
      <c r="O105" s="1" t="s">
        <v>844</v>
      </c>
      <c r="P105" s="3">
        <v>0</v>
      </c>
      <c r="Q105" s="3">
        <v>0</v>
      </c>
      <c r="R105" s="3">
        <v>0.5</v>
      </c>
      <c r="S105" s="3">
        <v>1</v>
      </c>
      <c r="T105" s="3">
        <f>SUM(Table145[[#This Row],[Relevence 0,1,0.5]:[Findings 0,1,0.5]])</f>
        <v>1.5</v>
      </c>
    </row>
    <row r="106" spans="1:20" ht="15" customHeight="1" x14ac:dyDescent="0.25">
      <c r="A106" s="1" t="s">
        <v>425</v>
      </c>
      <c r="B106" s="1" t="s">
        <v>14</v>
      </c>
      <c r="C106" s="1" t="s">
        <v>1609</v>
      </c>
      <c r="D106" s="1">
        <v>2022</v>
      </c>
      <c r="E106" s="1" t="s">
        <v>1610</v>
      </c>
      <c r="F106" s="1" t="s">
        <v>1611</v>
      </c>
      <c r="G106" s="1">
        <v>19</v>
      </c>
      <c r="H106" s="1">
        <v>3</v>
      </c>
      <c r="M106" s="1" t="s">
        <v>1612</v>
      </c>
      <c r="O106" s="1" t="s">
        <v>1613</v>
      </c>
      <c r="P106" s="3">
        <v>0</v>
      </c>
      <c r="Q106" s="3">
        <v>1</v>
      </c>
      <c r="R106" s="3">
        <v>0.5</v>
      </c>
      <c r="S106" s="3">
        <v>0.5</v>
      </c>
      <c r="T106" s="3">
        <f>SUM(Table145[[#This Row],[Relevence 0,1,0.5]:[Findings 0,1,0.5]])</f>
        <v>2</v>
      </c>
    </row>
    <row r="107" spans="1:20" ht="15" customHeight="1" x14ac:dyDescent="0.25">
      <c r="A107" s="1" t="s">
        <v>425</v>
      </c>
      <c r="B107" s="1" t="s">
        <v>14</v>
      </c>
      <c r="C107" s="1" t="s">
        <v>344</v>
      </c>
      <c r="D107" s="1">
        <v>2023</v>
      </c>
      <c r="E107" s="1" t="s">
        <v>345</v>
      </c>
      <c r="F107" s="1" t="s">
        <v>148</v>
      </c>
      <c r="G107" s="1">
        <v>13</v>
      </c>
      <c r="H107" s="1">
        <v>5</v>
      </c>
      <c r="M107" s="1" t="s">
        <v>347</v>
      </c>
      <c r="O107" s="1" t="s">
        <v>1627</v>
      </c>
      <c r="P107" s="3">
        <v>1</v>
      </c>
      <c r="Q107" s="3">
        <v>1</v>
      </c>
      <c r="R107" s="3">
        <v>1</v>
      </c>
      <c r="S107" s="3">
        <v>1</v>
      </c>
      <c r="T107" s="3">
        <f>SUM(Table145[[#This Row],[Relevence 0,1,0.5]:[Findings 0,1,0.5]])</f>
        <v>4</v>
      </c>
    </row>
    <row r="108" spans="1:20" ht="15" customHeight="1" x14ac:dyDescent="0.25">
      <c r="A108" s="1" t="s">
        <v>425</v>
      </c>
      <c r="B108" s="1" t="s">
        <v>14</v>
      </c>
      <c r="C108" s="1" t="s">
        <v>349</v>
      </c>
      <c r="D108" s="1">
        <v>2023</v>
      </c>
      <c r="E108" s="1" t="s">
        <v>350</v>
      </c>
      <c r="F108" s="1" t="s">
        <v>148</v>
      </c>
      <c r="G108" s="1">
        <v>13</v>
      </c>
      <c r="H108" s="1">
        <v>9</v>
      </c>
      <c r="M108" s="1" t="s">
        <v>352</v>
      </c>
      <c r="O108" s="1" t="s">
        <v>1636</v>
      </c>
      <c r="P108" s="3">
        <v>1</v>
      </c>
      <c r="Q108" s="3">
        <v>1</v>
      </c>
      <c r="R108" s="3">
        <v>1</v>
      </c>
      <c r="S108" s="3">
        <v>1</v>
      </c>
      <c r="T108" s="3">
        <f>SUM(Table145[[#This Row],[Relevence 0,1,0.5]:[Findings 0,1,0.5]])</f>
        <v>4</v>
      </c>
    </row>
    <row r="109" spans="1:20" ht="15" customHeight="1" x14ac:dyDescent="0.25">
      <c r="A109" s="1" t="s">
        <v>425</v>
      </c>
      <c r="B109" s="1" t="s">
        <v>14</v>
      </c>
      <c r="C109" s="1" t="s">
        <v>879</v>
      </c>
      <c r="D109" s="1">
        <v>2024</v>
      </c>
      <c r="E109" s="1" t="s">
        <v>1647</v>
      </c>
      <c r="F109" s="1" t="s">
        <v>1648</v>
      </c>
      <c r="G109" s="1">
        <v>16</v>
      </c>
      <c r="H109" s="1">
        <v>1</v>
      </c>
      <c r="I109" s="25">
        <v>16072</v>
      </c>
      <c r="M109" s="1" t="s">
        <v>1649</v>
      </c>
      <c r="O109" s="1" t="s">
        <v>1650</v>
      </c>
      <c r="P109" s="3">
        <v>0</v>
      </c>
      <c r="Q109" s="3">
        <v>1</v>
      </c>
      <c r="R109" s="3">
        <v>0.5</v>
      </c>
      <c r="S109" s="3">
        <v>0.5</v>
      </c>
      <c r="T109" s="3">
        <f>SUM(Table145[[#This Row],[Relevence 0,1,0.5]:[Findings 0,1,0.5]])</f>
        <v>2</v>
      </c>
    </row>
    <row r="110" spans="1:20" ht="15" customHeight="1" x14ac:dyDescent="0.25">
      <c r="A110" s="1" t="s">
        <v>425</v>
      </c>
      <c r="B110" s="1" t="s">
        <v>14</v>
      </c>
      <c r="C110" s="1" t="s">
        <v>1653</v>
      </c>
      <c r="D110" s="1">
        <v>2023</v>
      </c>
      <c r="E110" s="1" t="s">
        <v>1654</v>
      </c>
      <c r="F110" s="1" t="s">
        <v>1655</v>
      </c>
      <c r="G110" s="1">
        <v>31</v>
      </c>
      <c r="H110" s="1">
        <v>3</v>
      </c>
      <c r="I110" s="1" t="s">
        <v>1656</v>
      </c>
      <c r="M110" s="1" t="s">
        <v>1657</v>
      </c>
      <c r="O110" s="1" t="s">
        <v>1658</v>
      </c>
      <c r="P110" s="3">
        <v>0</v>
      </c>
      <c r="Q110" s="3">
        <v>1</v>
      </c>
      <c r="R110" s="3">
        <v>1</v>
      </c>
      <c r="S110" s="3">
        <v>1</v>
      </c>
      <c r="T110" s="3">
        <f>SUM(Table145[[#This Row],[Relevence 0,1,0.5]:[Findings 0,1,0.5]])</f>
        <v>3</v>
      </c>
    </row>
    <row r="111" spans="1:20" ht="15" customHeight="1" x14ac:dyDescent="0.25">
      <c r="A111" s="1" t="s">
        <v>425</v>
      </c>
      <c r="B111" s="1" t="s">
        <v>14</v>
      </c>
      <c r="C111" s="1" t="s">
        <v>1661</v>
      </c>
      <c r="D111" s="1">
        <v>2023</v>
      </c>
      <c r="E111" s="1" t="s">
        <v>1662</v>
      </c>
      <c r="F111" s="1" t="s">
        <v>1663</v>
      </c>
      <c r="G111" s="1">
        <v>5</v>
      </c>
      <c r="H111" s="1">
        <v>2</v>
      </c>
      <c r="M111" s="1" t="s">
        <v>1664</v>
      </c>
      <c r="O111" s="1" t="s">
        <v>1665</v>
      </c>
      <c r="P111" s="3">
        <v>0</v>
      </c>
      <c r="Q111" s="3">
        <v>0.5</v>
      </c>
      <c r="R111" s="3">
        <v>0</v>
      </c>
      <c r="S111" s="3">
        <v>0</v>
      </c>
      <c r="T111" s="3">
        <f>SUM(Table145[[#This Row],[Relevence 0,1,0.5]:[Findings 0,1,0.5]])</f>
        <v>0.5</v>
      </c>
    </row>
    <row r="112" spans="1:20" ht="15" customHeight="1" x14ac:dyDescent="0.25">
      <c r="A112" s="1" t="s">
        <v>425</v>
      </c>
      <c r="B112" s="1" t="s">
        <v>14</v>
      </c>
      <c r="C112" s="1" t="s">
        <v>1672</v>
      </c>
      <c r="D112" s="1">
        <v>2022</v>
      </c>
      <c r="E112" s="1" t="s">
        <v>1673</v>
      </c>
      <c r="F112" s="1" t="s">
        <v>1674</v>
      </c>
      <c r="G112" s="1">
        <v>2022</v>
      </c>
      <c r="M112" s="1" t="s">
        <v>1675</v>
      </c>
      <c r="O112" s="1" t="s">
        <v>1676</v>
      </c>
      <c r="P112" s="3">
        <v>0</v>
      </c>
      <c r="Q112" s="3">
        <v>0.5</v>
      </c>
      <c r="R112" s="3">
        <v>0</v>
      </c>
      <c r="S112" s="3">
        <v>0</v>
      </c>
      <c r="T112" s="3">
        <f>SUM(Table145[[#This Row],[Relevence 0,1,0.5]:[Findings 0,1,0.5]])</f>
        <v>0.5</v>
      </c>
    </row>
    <row r="113" spans="1:20" ht="15" customHeight="1" x14ac:dyDescent="0.25">
      <c r="A113" s="1" t="s">
        <v>425</v>
      </c>
      <c r="B113" s="1" t="s">
        <v>14</v>
      </c>
      <c r="C113" s="1" t="s">
        <v>1677</v>
      </c>
      <c r="D113" s="1">
        <v>2021</v>
      </c>
      <c r="E113" s="1" t="s">
        <v>1678</v>
      </c>
      <c r="F113" s="1" t="s">
        <v>1679</v>
      </c>
      <c r="G113" s="1">
        <v>48</v>
      </c>
      <c r="H113" s="1">
        <v>9</v>
      </c>
      <c r="I113" s="1" t="s">
        <v>1680</v>
      </c>
      <c r="M113" s="1" t="s">
        <v>1681</v>
      </c>
      <c r="O113" s="1" t="s">
        <v>1682</v>
      </c>
      <c r="P113" s="3">
        <v>0</v>
      </c>
      <c r="Q113" s="3">
        <v>1</v>
      </c>
      <c r="R113" s="3">
        <v>1</v>
      </c>
      <c r="S113" s="3">
        <v>1</v>
      </c>
      <c r="T113" s="3">
        <f>SUM(Table145[[#This Row],[Relevence 0,1,0.5]:[Findings 0,1,0.5]])</f>
        <v>3</v>
      </c>
    </row>
    <row r="114" spans="1:20" ht="15" customHeight="1" x14ac:dyDescent="0.25">
      <c r="A114" s="1" t="s">
        <v>425</v>
      </c>
      <c r="B114" s="1" t="s">
        <v>14</v>
      </c>
      <c r="C114" s="1" t="s">
        <v>898</v>
      </c>
      <c r="D114" s="1">
        <v>2022</v>
      </c>
      <c r="E114" s="1" t="s">
        <v>902</v>
      </c>
      <c r="F114" s="1" t="s">
        <v>1683</v>
      </c>
      <c r="G114" s="1">
        <v>19</v>
      </c>
      <c r="M114" s="1" t="s">
        <v>901</v>
      </c>
      <c r="O114" s="1" t="s">
        <v>1684</v>
      </c>
      <c r="P114" s="3">
        <v>0</v>
      </c>
      <c r="Q114" s="3">
        <v>1</v>
      </c>
      <c r="R114" s="3">
        <v>0.5</v>
      </c>
      <c r="S114" s="3">
        <v>0.5</v>
      </c>
      <c r="T114" s="3">
        <f>SUM(Table145[[#This Row],[Relevence 0,1,0.5]:[Findings 0,1,0.5]])</f>
        <v>2</v>
      </c>
    </row>
    <row r="115" spans="1:20" ht="15" customHeight="1" x14ac:dyDescent="0.25">
      <c r="A115" s="1" t="s">
        <v>425</v>
      </c>
      <c r="B115" s="1" t="s">
        <v>14</v>
      </c>
      <c r="C115" s="1" t="s">
        <v>1120</v>
      </c>
      <c r="D115" s="1">
        <v>2023</v>
      </c>
      <c r="E115" s="1" t="s">
        <v>1121</v>
      </c>
      <c r="F115" s="1" t="s">
        <v>1685</v>
      </c>
      <c r="G115" s="1">
        <v>164</v>
      </c>
      <c r="I115" s="1" t="s">
        <v>1122</v>
      </c>
      <c r="M115" s="1" t="s">
        <v>1686</v>
      </c>
      <c r="O115" s="1" t="s">
        <v>1687</v>
      </c>
      <c r="P115" s="3">
        <v>0</v>
      </c>
      <c r="Q115" s="3">
        <v>1</v>
      </c>
      <c r="R115" s="3">
        <v>0.5</v>
      </c>
      <c r="S115" s="3">
        <v>0.5</v>
      </c>
      <c r="T115" s="3">
        <f>SUM(Table145[[#This Row],[Relevence 0,1,0.5]:[Findings 0,1,0.5]])</f>
        <v>2</v>
      </c>
    </row>
    <row r="116" spans="1:20" ht="15" customHeight="1" x14ac:dyDescent="0.25">
      <c r="A116" s="1" t="s">
        <v>425</v>
      </c>
      <c r="B116" s="1" t="s">
        <v>14</v>
      </c>
      <c r="C116" s="1" t="s">
        <v>1696</v>
      </c>
      <c r="D116" s="1">
        <v>2023</v>
      </c>
      <c r="E116" s="1" t="s">
        <v>1697</v>
      </c>
      <c r="F116" s="1" t="s">
        <v>17</v>
      </c>
      <c r="G116" s="1">
        <v>11</v>
      </c>
      <c r="I116" s="1" t="s">
        <v>1698</v>
      </c>
      <c r="M116" s="1" t="s">
        <v>1699</v>
      </c>
      <c r="O116" s="1" t="s">
        <v>1700</v>
      </c>
      <c r="P116" s="3">
        <v>0</v>
      </c>
      <c r="Q116" s="3">
        <v>0.5</v>
      </c>
      <c r="R116" s="3">
        <v>0.5</v>
      </c>
      <c r="S116" s="3">
        <v>0.5</v>
      </c>
      <c r="T116" s="3">
        <f>SUM(Table145[[#This Row],[Relevence 0,1,0.5]:[Findings 0,1,0.5]])</f>
        <v>1.5</v>
      </c>
    </row>
    <row r="117" spans="1:20" ht="15" customHeight="1" x14ac:dyDescent="0.25">
      <c r="A117" s="1" t="s">
        <v>425</v>
      </c>
      <c r="B117" s="1" t="s">
        <v>14</v>
      </c>
      <c r="C117" s="1" t="s">
        <v>917</v>
      </c>
      <c r="D117" s="1">
        <v>2020</v>
      </c>
      <c r="E117" s="1" t="s">
        <v>921</v>
      </c>
      <c r="F117" s="1" t="s">
        <v>17</v>
      </c>
      <c r="G117" s="1">
        <v>8</v>
      </c>
      <c r="I117" s="25" t="s">
        <v>918</v>
      </c>
      <c r="M117" s="1" t="s">
        <v>920</v>
      </c>
      <c r="O117" s="1" t="s">
        <v>1716</v>
      </c>
      <c r="P117" s="3">
        <v>0</v>
      </c>
      <c r="Q117" s="3">
        <v>0</v>
      </c>
      <c r="R117" s="3">
        <v>0.5</v>
      </c>
      <c r="S117" s="3">
        <v>1</v>
      </c>
      <c r="T117" s="3">
        <f>SUM(Table145[[#This Row],[Relevence 0,1,0.5]:[Findings 0,1,0.5]])</f>
        <v>1.5</v>
      </c>
    </row>
    <row r="118" spans="1:20" ht="15" customHeight="1" x14ac:dyDescent="0.25">
      <c r="A118" s="1" t="s">
        <v>40</v>
      </c>
      <c r="B118" s="1" t="s">
        <v>34</v>
      </c>
      <c r="C118" s="1" t="s">
        <v>1771</v>
      </c>
      <c r="D118" s="1">
        <v>2021</v>
      </c>
      <c r="E118" s="1" t="s">
        <v>1772</v>
      </c>
      <c r="F118" s="1" t="s">
        <v>1773</v>
      </c>
      <c r="G118" s="1" t="s">
        <v>1774</v>
      </c>
      <c r="I118" s="1" t="s">
        <v>1775</v>
      </c>
      <c r="L118" s="1" t="s">
        <v>1776</v>
      </c>
      <c r="M118" s="1" t="s">
        <v>1777</v>
      </c>
      <c r="N118" s="1" t="s">
        <v>1778</v>
      </c>
      <c r="O118" s="1" t="s">
        <v>1779</v>
      </c>
      <c r="P118" s="3">
        <v>0</v>
      </c>
      <c r="Q118" s="3">
        <v>0</v>
      </c>
      <c r="R118" s="3">
        <v>0.5</v>
      </c>
      <c r="S118" s="3">
        <v>1</v>
      </c>
      <c r="T118" s="3">
        <f>SUM(Table145[[#This Row],[Relevence 0,1,0.5]:[Findings 0,1,0.5]])</f>
        <v>1.5</v>
      </c>
    </row>
    <row r="119" spans="1:20" ht="15" customHeight="1" x14ac:dyDescent="0.25">
      <c r="A119" s="1" t="s">
        <v>40</v>
      </c>
      <c r="B119" s="1" t="s">
        <v>34</v>
      </c>
      <c r="C119" s="1" t="s">
        <v>1181</v>
      </c>
      <c r="D119" s="1">
        <v>2021</v>
      </c>
      <c r="E119" s="1" t="s">
        <v>1182</v>
      </c>
      <c r="F119" s="1" t="s">
        <v>231</v>
      </c>
      <c r="G119" s="1" t="s">
        <v>1796</v>
      </c>
      <c r="I119" s="1" t="s">
        <v>1184</v>
      </c>
      <c r="L119" s="1" t="s">
        <v>1797</v>
      </c>
      <c r="M119" s="1" t="s">
        <v>1185</v>
      </c>
      <c r="N119" s="1" t="s">
        <v>1798</v>
      </c>
      <c r="O119" s="1" t="s">
        <v>1799</v>
      </c>
      <c r="P119" s="3">
        <v>0</v>
      </c>
      <c r="Q119" s="3">
        <v>0.5</v>
      </c>
      <c r="R119" s="3">
        <v>0.5</v>
      </c>
      <c r="S119" s="3">
        <v>0.5</v>
      </c>
      <c r="T119" s="3">
        <f>SUM(Table145[[#This Row],[Relevence 0,1,0.5]:[Findings 0,1,0.5]])</f>
        <v>1.5</v>
      </c>
    </row>
    <row r="120" spans="1:20" ht="15" customHeight="1" x14ac:dyDescent="0.25">
      <c r="A120" s="1" t="s">
        <v>40</v>
      </c>
      <c r="B120" s="1" t="s">
        <v>34</v>
      </c>
      <c r="C120" s="1" t="s">
        <v>551</v>
      </c>
      <c r="D120" s="1">
        <v>2020</v>
      </c>
      <c r="E120" s="1" t="s">
        <v>555</v>
      </c>
      <c r="F120" s="1" t="s">
        <v>2352</v>
      </c>
      <c r="L120" s="1" t="s">
        <v>2353</v>
      </c>
      <c r="M120" s="1" t="s">
        <v>554</v>
      </c>
      <c r="N120" s="1" t="s">
        <v>2354</v>
      </c>
      <c r="O120" s="1" t="s">
        <v>2355</v>
      </c>
      <c r="P120" s="3">
        <v>0</v>
      </c>
      <c r="Q120" s="3">
        <v>0</v>
      </c>
      <c r="R120" s="3">
        <v>0.5</v>
      </c>
      <c r="S120" s="3">
        <v>1</v>
      </c>
      <c r="T120" s="3">
        <f>SUM(Table145[[#This Row],[Relevence 0,1,0.5]:[Findings 0,1,0.5]])</f>
        <v>1.5</v>
      </c>
    </row>
    <row r="121" spans="1:20" ht="15" customHeight="1" x14ac:dyDescent="0.25">
      <c r="A121" s="1" t="s">
        <v>40</v>
      </c>
      <c r="B121" s="1" t="s">
        <v>34</v>
      </c>
      <c r="C121" s="1" t="s">
        <v>2356</v>
      </c>
      <c r="D121" s="1">
        <v>2020</v>
      </c>
      <c r="E121" s="1" t="s">
        <v>2357</v>
      </c>
      <c r="F121" s="1" t="s">
        <v>444</v>
      </c>
      <c r="G121" s="1">
        <v>2742</v>
      </c>
      <c r="I121" s="1" t="s">
        <v>514</v>
      </c>
      <c r="L121" s="1" t="s">
        <v>2358</v>
      </c>
      <c r="N121" s="1" t="s">
        <v>2359</v>
      </c>
      <c r="O121" s="1" t="s">
        <v>2360</v>
      </c>
      <c r="P121" s="3">
        <v>0</v>
      </c>
      <c r="Q121" s="3">
        <v>1</v>
      </c>
      <c r="R121" s="3">
        <v>0.5</v>
      </c>
      <c r="S121" s="3">
        <v>0.5</v>
      </c>
      <c r="T121" s="3">
        <f>SUM(Table145[[#This Row],[Relevence 0,1,0.5]:[Findings 0,1,0.5]])</f>
        <v>2</v>
      </c>
    </row>
    <row r="122" spans="1:20" ht="15" customHeight="1" x14ac:dyDescent="0.25">
      <c r="A122" s="1" t="s">
        <v>40</v>
      </c>
      <c r="B122" s="1" t="s">
        <v>34</v>
      </c>
      <c r="C122" s="1" t="s">
        <v>51</v>
      </c>
      <c r="D122" s="1">
        <v>2022</v>
      </c>
      <c r="E122" s="1" t="s">
        <v>52</v>
      </c>
      <c r="F122" s="1" t="s">
        <v>53</v>
      </c>
      <c r="I122" s="1" t="s">
        <v>558</v>
      </c>
      <c r="L122" s="1" t="s">
        <v>55</v>
      </c>
      <c r="M122" s="1" t="s">
        <v>54</v>
      </c>
      <c r="N122" s="1" t="s">
        <v>1800</v>
      </c>
      <c r="O122" s="1" t="s">
        <v>1801</v>
      </c>
      <c r="P122" s="3">
        <v>1</v>
      </c>
      <c r="Q122" s="3">
        <v>1</v>
      </c>
      <c r="R122" s="3">
        <v>1</v>
      </c>
      <c r="S122" s="3">
        <v>1</v>
      </c>
      <c r="T122" s="3">
        <f>SUM(Table145[[#This Row],[Relevence 0,1,0.5]:[Findings 0,1,0.5]])</f>
        <v>4</v>
      </c>
    </row>
    <row r="123" spans="1:20" ht="15" customHeight="1" x14ac:dyDescent="0.25">
      <c r="A123" s="1" t="s">
        <v>40</v>
      </c>
      <c r="B123" s="1" t="s">
        <v>14</v>
      </c>
      <c r="C123" s="1" t="s">
        <v>74</v>
      </c>
      <c r="D123" s="1">
        <v>2022</v>
      </c>
      <c r="E123" s="1" t="s">
        <v>75</v>
      </c>
      <c r="F123" s="1" t="s">
        <v>76</v>
      </c>
      <c r="G123" s="1">
        <v>3</v>
      </c>
      <c r="H123" s="1">
        <v>3</v>
      </c>
      <c r="L123" s="1" t="s">
        <v>78</v>
      </c>
      <c r="M123" s="1" t="s">
        <v>77</v>
      </c>
      <c r="N123" s="1" t="s">
        <v>1819</v>
      </c>
      <c r="O123" s="1" t="s">
        <v>1820</v>
      </c>
      <c r="P123" s="3">
        <v>1</v>
      </c>
      <c r="Q123" s="3">
        <v>1</v>
      </c>
      <c r="R123" s="3">
        <v>1</v>
      </c>
      <c r="S123" s="3">
        <v>1</v>
      </c>
      <c r="T123" s="3">
        <f>SUM(Table145[[#This Row],[Relevence 0,1,0.5]:[Findings 0,1,0.5]])</f>
        <v>4</v>
      </c>
    </row>
    <row r="124" spans="1:20" ht="15" customHeight="1" x14ac:dyDescent="0.25">
      <c r="A124" s="1" t="s">
        <v>40</v>
      </c>
      <c r="B124" s="1" t="s">
        <v>34</v>
      </c>
      <c r="C124" s="1" t="s">
        <v>1845</v>
      </c>
      <c r="D124" s="1">
        <v>2023</v>
      </c>
      <c r="E124" s="1" t="s">
        <v>1846</v>
      </c>
      <c r="F124" s="1" t="s">
        <v>81</v>
      </c>
      <c r="G124" s="1" t="s">
        <v>1847</v>
      </c>
      <c r="I124" s="1" t="s">
        <v>1848</v>
      </c>
      <c r="L124" s="1" t="s">
        <v>1849</v>
      </c>
      <c r="M124" s="1" t="s">
        <v>1850</v>
      </c>
      <c r="N124" s="1" t="s">
        <v>1851</v>
      </c>
      <c r="O124" s="1" t="s">
        <v>1852</v>
      </c>
      <c r="P124" s="3">
        <v>0</v>
      </c>
      <c r="Q124" s="3">
        <v>1</v>
      </c>
      <c r="R124" s="3">
        <v>0.5</v>
      </c>
      <c r="S124" s="3">
        <v>0.5</v>
      </c>
      <c r="T124" s="3">
        <f>SUM(Table145[[#This Row],[Relevence 0,1,0.5]:[Findings 0,1,0.5]])</f>
        <v>2</v>
      </c>
    </row>
    <row r="125" spans="1:20" ht="15" customHeight="1" x14ac:dyDescent="0.25">
      <c r="A125" s="1" t="s">
        <v>40</v>
      </c>
      <c r="B125" s="1" t="s">
        <v>34</v>
      </c>
      <c r="C125" s="1" t="s">
        <v>79</v>
      </c>
      <c r="D125" s="1">
        <v>2021</v>
      </c>
      <c r="E125" s="1" t="s">
        <v>80</v>
      </c>
      <c r="F125" s="1" t="s">
        <v>81</v>
      </c>
      <c r="G125" s="1" t="s">
        <v>1853</v>
      </c>
      <c r="I125" s="1" t="s">
        <v>1854</v>
      </c>
      <c r="L125" s="1" t="s">
        <v>83</v>
      </c>
      <c r="M125" s="1" t="s">
        <v>82</v>
      </c>
      <c r="N125" s="1" t="s">
        <v>1855</v>
      </c>
      <c r="O125" s="1" t="s">
        <v>1856</v>
      </c>
      <c r="P125" s="3">
        <v>1</v>
      </c>
      <c r="Q125" s="3">
        <v>1</v>
      </c>
      <c r="R125" s="3">
        <v>1</v>
      </c>
      <c r="S125" s="3">
        <v>1</v>
      </c>
      <c r="T125" s="3">
        <f>SUM(Table145[[#This Row],[Relevence 0,1,0.5]:[Findings 0,1,0.5]])</f>
        <v>4</v>
      </c>
    </row>
    <row r="126" spans="1:20" ht="15" customHeight="1" x14ac:dyDescent="0.25">
      <c r="A126" s="1" t="s">
        <v>40</v>
      </c>
      <c r="B126" s="1" t="s">
        <v>34</v>
      </c>
      <c r="C126" s="1" t="s">
        <v>1864</v>
      </c>
      <c r="D126" s="1">
        <v>2022</v>
      </c>
      <c r="E126" s="1" t="s">
        <v>1865</v>
      </c>
      <c r="F126" s="1" t="s">
        <v>184</v>
      </c>
      <c r="G126" s="1">
        <v>12287</v>
      </c>
      <c r="L126" s="1" t="s">
        <v>1866</v>
      </c>
      <c r="M126" s="1" t="s">
        <v>1867</v>
      </c>
      <c r="N126" s="1" t="s">
        <v>1868</v>
      </c>
      <c r="O126" s="1" t="s">
        <v>1869</v>
      </c>
      <c r="P126" s="3">
        <v>0</v>
      </c>
      <c r="Q126" s="3">
        <v>1</v>
      </c>
      <c r="R126" s="3">
        <v>0.5</v>
      </c>
      <c r="S126" s="3">
        <v>0.5</v>
      </c>
      <c r="T126" s="3">
        <f>SUM(Table145[[#This Row],[Relevence 0,1,0.5]:[Findings 0,1,0.5]])</f>
        <v>2</v>
      </c>
    </row>
    <row r="127" spans="1:20" ht="15" customHeight="1" x14ac:dyDescent="0.25">
      <c r="A127" s="1" t="s">
        <v>40</v>
      </c>
      <c r="B127" s="1" t="s">
        <v>34</v>
      </c>
      <c r="C127" s="1" t="s">
        <v>2363</v>
      </c>
      <c r="D127" s="1">
        <v>2020</v>
      </c>
      <c r="E127" s="1" t="s">
        <v>2364</v>
      </c>
      <c r="F127" s="1" t="s">
        <v>488</v>
      </c>
      <c r="I127" s="1" t="s">
        <v>2365</v>
      </c>
      <c r="L127" s="1" t="s">
        <v>2366</v>
      </c>
      <c r="M127" s="1" t="s">
        <v>2367</v>
      </c>
      <c r="N127" s="1" t="s">
        <v>2368</v>
      </c>
      <c r="O127" s="1" t="s">
        <v>2369</v>
      </c>
      <c r="P127" s="3">
        <v>0</v>
      </c>
      <c r="Q127" s="3">
        <v>0.5</v>
      </c>
      <c r="R127" s="3">
        <v>0</v>
      </c>
      <c r="S127" s="3">
        <v>0.5</v>
      </c>
      <c r="T127" s="3">
        <f>SUM(Table145[[#This Row],[Relevence 0,1,0.5]:[Findings 0,1,0.5]])</f>
        <v>1</v>
      </c>
    </row>
    <row r="128" spans="1:20" ht="15" customHeight="1" x14ac:dyDescent="0.25">
      <c r="A128" s="1" t="s">
        <v>40</v>
      </c>
      <c r="B128" s="1" t="s">
        <v>34</v>
      </c>
      <c r="C128" s="1" t="s">
        <v>1870</v>
      </c>
      <c r="D128" s="1">
        <v>2023</v>
      </c>
      <c r="E128" s="1" t="s">
        <v>1871</v>
      </c>
      <c r="F128" s="1" t="s">
        <v>1773</v>
      </c>
      <c r="G128" s="1" t="s">
        <v>1872</v>
      </c>
      <c r="I128" s="1" t="s">
        <v>1873</v>
      </c>
      <c r="L128" s="1" t="s">
        <v>1874</v>
      </c>
      <c r="M128" s="1" t="s">
        <v>1875</v>
      </c>
      <c r="N128" s="1" t="s">
        <v>1876</v>
      </c>
      <c r="O128" s="1" t="s">
        <v>1877</v>
      </c>
      <c r="P128" s="3">
        <v>0</v>
      </c>
      <c r="Q128" s="3">
        <v>0.5</v>
      </c>
      <c r="R128" s="3">
        <v>0.5</v>
      </c>
      <c r="S128" s="3">
        <v>0.5</v>
      </c>
      <c r="T128" s="3">
        <f>SUM(Table145[[#This Row],[Relevence 0,1,0.5]:[Findings 0,1,0.5]])</f>
        <v>1.5</v>
      </c>
    </row>
    <row r="129" spans="1:20" ht="15" customHeight="1" x14ac:dyDescent="0.25">
      <c r="A129" s="1" t="s">
        <v>40</v>
      </c>
      <c r="B129" s="1" t="s">
        <v>34</v>
      </c>
      <c r="C129" s="1" t="s">
        <v>107</v>
      </c>
      <c r="D129" s="1">
        <v>2021</v>
      </c>
      <c r="E129" s="1" t="s">
        <v>108</v>
      </c>
      <c r="F129" s="1" t="s">
        <v>109</v>
      </c>
      <c r="I129" s="1" t="s">
        <v>616</v>
      </c>
      <c r="L129" s="1" t="s">
        <v>111</v>
      </c>
      <c r="M129" s="1" t="s">
        <v>110</v>
      </c>
      <c r="N129" s="1" t="s">
        <v>1922</v>
      </c>
      <c r="O129" s="1" t="s">
        <v>1923</v>
      </c>
      <c r="P129" s="3">
        <v>1</v>
      </c>
      <c r="Q129" s="3">
        <v>1</v>
      </c>
      <c r="R129" s="3">
        <v>1</v>
      </c>
      <c r="S129" s="3">
        <v>1</v>
      </c>
      <c r="T129" s="3">
        <f>SUM(Table145[[#This Row],[Relevence 0,1,0.5]:[Findings 0,1,0.5]])</f>
        <v>4</v>
      </c>
    </row>
    <row r="130" spans="1:20" ht="15" customHeight="1" x14ac:dyDescent="0.25">
      <c r="A130" s="1" t="s">
        <v>40</v>
      </c>
      <c r="B130" s="1" t="s">
        <v>130</v>
      </c>
      <c r="C130" s="1" t="s">
        <v>131</v>
      </c>
      <c r="D130" s="1">
        <v>2023</v>
      </c>
      <c r="E130" s="1" t="s">
        <v>132</v>
      </c>
      <c r="F130" s="1" t="s">
        <v>133</v>
      </c>
      <c r="I130" s="1" t="s">
        <v>1935</v>
      </c>
      <c r="L130" s="1" t="s">
        <v>134</v>
      </c>
      <c r="P130" s="3">
        <v>1</v>
      </c>
      <c r="Q130" s="3">
        <v>1</v>
      </c>
      <c r="R130" s="3">
        <v>1</v>
      </c>
      <c r="S130" s="3">
        <v>1</v>
      </c>
      <c r="T130" s="3">
        <f>SUM(Table145[[#This Row],[Relevence 0,1,0.5]:[Findings 0,1,0.5]])</f>
        <v>4</v>
      </c>
    </row>
    <row r="131" spans="1:20" ht="15" customHeight="1" x14ac:dyDescent="0.25">
      <c r="A131" s="1" t="s">
        <v>40</v>
      </c>
      <c r="B131" s="1" t="s">
        <v>34</v>
      </c>
      <c r="C131" s="1" t="s">
        <v>139</v>
      </c>
      <c r="D131" s="1">
        <v>2023</v>
      </c>
      <c r="E131" s="1" t="s">
        <v>140</v>
      </c>
      <c r="F131" s="1" t="s">
        <v>141</v>
      </c>
      <c r="L131" s="1" t="s">
        <v>143</v>
      </c>
      <c r="M131" s="1" t="s">
        <v>142</v>
      </c>
      <c r="N131" s="1" t="s">
        <v>1953</v>
      </c>
      <c r="O131" s="1" t="s">
        <v>1954</v>
      </c>
      <c r="P131" s="3">
        <v>1</v>
      </c>
      <c r="Q131" s="3">
        <v>1</v>
      </c>
      <c r="R131" s="3">
        <v>1</v>
      </c>
      <c r="S131" s="3">
        <v>1</v>
      </c>
      <c r="T131" s="3">
        <f>SUM(Table145[[#This Row],[Relevence 0,1,0.5]:[Findings 0,1,0.5]])</f>
        <v>4</v>
      </c>
    </row>
    <row r="132" spans="1:20" ht="15" customHeight="1" x14ac:dyDescent="0.25">
      <c r="A132" s="1" t="s">
        <v>40</v>
      </c>
      <c r="B132" s="1" t="s">
        <v>34</v>
      </c>
      <c r="C132" s="1" t="s">
        <v>1981</v>
      </c>
      <c r="D132" s="1">
        <v>2022</v>
      </c>
      <c r="E132" s="1" t="s">
        <v>1982</v>
      </c>
      <c r="F132" s="1" t="s">
        <v>488</v>
      </c>
      <c r="L132" s="1" t="s">
        <v>1983</v>
      </c>
      <c r="M132" s="1" t="s">
        <v>1984</v>
      </c>
      <c r="N132" s="1" t="s">
        <v>1985</v>
      </c>
      <c r="O132" s="1" t="s">
        <v>1986</v>
      </c>
      <c r="P132" s="3">
        <v>0</v>
      </c>
      <c r="Q132" s="3">
        <v>0.5</v>
      </c>
      <c r="R132" s="3">
        <v>0.5</v>
      </c>
      <c r="S132" s="3">
        <v>0.5</v>
      </c>
      <c r="T132" s="3">
        <f>SUM(Table145[[#This Row],[Relevence 0,1,0.5]:[Findings 0,1,0.5]])</f>
        <v>1.5</v>
      </c>
    </row>
    <row r="133" spans="1:20" ht="15" customHeight="1" x14ac:dyDescent="0.25">
      <c r="A133" s="1" t="s">
        <v>40</v>
      </c>
      <c r="B133" s="1" t="s">
        <v>34</v>
      </c>
      <c r="C133" s="1" t="s">
        <v>651</v>
      </c>
      <c r="D133" s="1">
        <v>2023</v>
      </c>
      <c r="E133" s="1" t="s">
        <v>655</v>
      </c>
      <c r="F133" s="1" t="s">
        <v>2002</v>
      </c>
      <c r="L133" s="1" t="s">
        <v>2003</v>
      </c>
      <c r="M133" s="1" t="s">
        <v>654</v>
      </c>
      <c r="N133" s="1" t="s">
        <v>2004</v>
      </c>
      <c r="O133" s="1" t="s">
        <v>2005</v>
      </c>
      <c r="P133" s="3">
        <v>0</v>
      </c>
      <c r="Q133" s="3">
        <v>0.5</v>
      </c>
      <c r="R133" s="3">
        <v>0</v>
      </c>
      <c r="S133" s="3">
        <v>0.5</v>
      </c>
      <c r="T133" s="3">
        <f>SUM(Table145[[#This Row],[Relevence 0,1,0.5]:[Findings 0,1,0.5]])</f>
        <v>1</v>
      </c>
    </row>
    <row r="134" spans="1:20" ht="15" customHeight="1" x14ac:dyDescent="0.25">
      <c r="A134" s="1" t="s">
        <v>40</v>
      </c>
      <c r="B134" s="1" t="s">
        <v>34</v>
      </c>
      <c r="C134" s="1" t="s">
        <v>182</v>
      </c>
      <c r="D134" s="1">
        <v>2022</v>
      </c>
      <c r="E134" s="1" t="s">
        <v>183</v>
      </c>
      <c r="F134" s="1" t="s">
        <v>184</v>
      </c>
      <c r="G134" s="1">
        <v>12286</v>
      </c>
      <c r="L134" s="1" t="s">
        <v>186</v>
      </c>
      <c r="M134" s="1" t="s">
        <v>185</v>
      </c>
      <c r="N134" s="1" t="s">
        <v>2070</v>
      </c>
      <c r="O134" s="1" t="s">
        <v>2071</v>
      </c>
      <c r="P134" s="3">
        <v>1</v>
      </c>
      <c r="Q134" s="3">
        <v>1</v>
      </c>
      <c r="R134" s="3">
        <v>0.5</v>
      </c>
      <c r="S134" s="3">
        <v>1</v>
      </c>
      <c r="T134" s="3">
        <f>SUM(Table145[[#This Row],[Relevence 0,1,0.5]:[Findings 0,1,0.5]])</f>
        <v>3.5</v>
      </c>
    </row>
    <row r="135" spans="1:20" ht="15" customHeight="1" x14ac:dyDescent="0.25">
      <c r="A135" s="1" t="s">
        <v>40</v>
      </c>
      <c r="B135" s="1" t="s">
        <v>34</v>
      </c>
      <c r="C135" s="1" t="s">
        <v>229</v>
      </c>
      <c r="D135" s="1">
        <v>2022</v>
      </c>
      <c r="E135" s="1" t="s">
        <v>230</v>
      </c>
      <c r="F135" s="1" t="s">
        <v>231</v>
      </c>
      <c r="G135" s="1" t="s">
        <v>2138</v>
      </c>
      <c r="I135" s="1" t="s">
        <v>1509</v>
      </c>
      <c r="L135" s="1" t="s">
        <v>233</v>
      </c>
      <c r="M135" s="1" t="s">
        <v>232</v>
      </c>
      <c r="N135" s="1" t="s">
        <v>2139</v>
      </c>
      <c r="O135" s="1" t="s">
        <v>2140</v>
      </c>
      <c r="P135" s="3">
        <v>1</v>
      </c>
      <c r="Q135" s="3">
        <v>1</v>
      </c>
      <c r="R135" s="3">
        <v>1</v>
      </c>
      <c r="S135" s="3">
        <v>1</v>
      </c>
      <c r="T135" s="3">
        <f>SUM(Table145[[#This Row],[Relevence 0,1,0.5]:[Findings 0,1,0.5]])</f>
        <v>4</v>
      </c>
    </row>
    <row r="136" spans="1:20" ht="15" customHeight="1" x14ac:dyDescent="0.25">
      <c r="A136" s="1" t="s">
        <v>40</v>
      </c>
      <c r="B136" s="1" t="s">
        <v>34</v>
      </c>
      <c r="C136" s="1" t="s">
        <v>236</v>
      </c>
      <c r="D136" s="1">
        <v>2021</v>
      </c>
      <c r="E136" s="1" t="s">
        <v>237</v>
      </c>
      <c r="F136" s="1" t="s">
        <v>238</v>
      </c>
      <c r="I136" s="24">
        <v>45505</v>
      </c>
      <c r="L136" s="1" t="s">
        <v>240</v>
      </c>
      <c r="M136" s="1" t="s">
        <v>239</v>
      </c>
      <c r="N136" s="1" t="s">
        <v>2141</v>
      </c>
      <c r="O136" s="1" t="s">
        <v>2142</v>
      </c>
      <c r="P136" s="3">
        <v>1</v>
      </c>
      <c r="Q136" s="3">
        <v>1</v>
      </c>
      <c r="R136" s="3">
        <v>0.5</v>
      </c>
      <c r="S136" s="3">
        <v>1</v>
      </c>
      <c r="T136" s="3">
        <f>SUM(Table145[[#This Row],[Relevence 0,1,0.5]:[Findings 0,1,0.5]])</f>
        <v>3.5</v>
      </c>
    </row>
    <row r="137" spans="1:20" ht="15" customHeight="1" x14ac:dyDescent="0.25">
      <c r="A137" s="1" t="s">
        <v>40</v>
      </c>
      <c r="B137" s="1" t="s">
        <v>34</v>
      </c>
      <c r="C137" s="1" t="s">
        <v>312</v>
      </c>
      <c r="D137" s="1">
        <v>2020</v>
      </c>
      <c r="E137" s="1" t="s">
        <v>313</v>
      </c>
      <c r="F137" s="1" t="s">
        <v>314</v>
      </c>
      <c r="I137" s="1" t="s">
        <v>797</v>
      </c>
      <c r="L137" s="1" t="s">
        <v>316</v>
      </c>
      <c r="M137" s="1" t="s">
        <v>315</v>
      </c>
      <c r="N137" s="1" t="s">
        <v>2370</v>
      </c>
      <c r="O137" s="1" t="s">
        <v>2371</v>
      </c>
      <c r="P137" s="3">
        <v>1</v>
      </c>
      <c r="Q137" s="3">
        <v>1</v>
      </c>
      <c r="R137" s="3">
        <v>1</v>
      </c>
      <c r="S137" s="3">
        <v>1</v>
      </c>
      <c r="T137" s="3">
        <f>SUM(Table145[[#This Row],[Relevence 0,1,0.5]:[Findings 0,1,0.5]])</f>
        <v>4</v>
      </c>
    </row>
    <row r="138" spans="1:20" ht="15" customHeight="1" x14ac:dyDescent="0.25">
      <c r="A138" s="1" t="s">
        <v>40</v>
      </c>
      <c r="B138" s="1" t="s">
        <v>34</v>
      </c>
      <c r="C138" s="1" t="s">
        <v>2223</v>
      </c>
      <c r="D138" s="1">
        <v>2024</v>
      </c>
      <c r="E138" s="1" t="s">
        <v>2224</v>
      </c>
      <c r="F138" s="1" t="s">
        <v>1773</v>
      </c>
      <c r="G138" s="1" t="s">
        <v>2225</v>
      </c>
      <c r="I138" s="1" t="s">
        <v>2226</v>
      </c>
      <c r="L138" s="1" t="s">
        <v>2227</v>
      </c>
      <c r="M138" s="1" t="s">
        <v>2228</v>
      </c>
      <c r="N138" s="1" t="s">
        <v>2229</v>
      </c>
      <c r="O138" s="1" t="s">
        <v>2230</v>
      </c>
      <c r="P138" s="3">
        <v>0</v>
      </c>
      <c r="Q138" s="3">
        <v>1</v>
      </c>
      <c r="R138" s="3">
        <v>0.5</v>
      </c>
      <c r="S138" s="3">
        <v>0.5</v>
      </c>
      <c r="T138" s="3">
        <f>SUM(Table145[[#This Row],[Relevence 0,1,0.5]:[Findings 0,1,0.5]])</f>
        <v>2</v>
      </c>
    </row>
    <row r="139" spans="1:20" ht="15" customHeight="1" x14ac:dyDescent="0.25">
      <c r="A139" s="1" t="s">
        <v>40</v>
      </c>
      <c r="B139" s="1" t="s">
        <v>14</v>
      </c>
      <c r="C139" s="1" t="s">
        <v>332</v>
      </c>
      <c r="D139" s="1">
        <v>2023</v>
      </c>
      <c r="E139" s="1" t="s">
        <v>333</v>
      </c>
      <c r="F139" s="1" t="s">
        <v>76</v>
      </c>
      <c r="G139" s="1">
        <v>4</v>
      </c>
      <c r="H139" s="1">
        <v>6</v>
      </c>
      <c r="L139" s="1" t="s">
        <v>335</v>
      </c>
      <c r="M139" s="1" t="s">
        <v>334</v>
      </c>
      <c r="N139" s="1" t="s">
        <v>2235</v>
      </c>
      <c r="O139" s="1" t="s">
        <v>2236</v>
      </c>
      <c r="P139" s="3">
        <v>1</v>
      </c>
      <c r="Q139" s="3">
        <v>1</v>
      </c>
      <c r="R139" s="3">
        <v>0.5</v>
      </c>
      <c r="S139" s="3">
        <v>1</v>
      </c>
      <c r="T139" s="3">
        <f>SUM(Table145[[#This Row],[Relevence 0,1,0.5]:[Findings 0,1,0.5]])</f>
        <v>3.5</v>
      </c>
    </row>
    <row r="140" spans="1:20" ht="15" customHeight="1" x14ac:dyDescent="0.25">
      <c r="A140" s="1" t="s">
        <v>40</v>
      </c>
      <c r="B140" s="1" t="s">
        <v>34</v>
      </c>
      <c r="C140" s="1" t="s">
        <v>2253</v>
      </c>
      <c r="D140" s="1">
        <v>2022</v>
      </c>
      <c r="E140" s="1" t="s">
        <v>2254</v>
      </c>
      <c r="F140" s="1" t="s">
        <v>488</v>
      </c>
      <c r="I140" s="1" t="s">
        <v>2255</v>
      </c>
      <c r="L140" s="1" t="s">
        <v>2256</v>
      </c>
      <c r="M140" s="1" t="s">
        <v>2257</v>
      </c>
      <c r="N140" s="1" t="s">
        <v>2258</v>
      </c>
      <c r="O140" s="1" t="s">
        <v>2259</v>
      </c>
      <c r="P140" s="3">
        <v>0</v>
      </c>
      <c r="Q140" s="3">
        <v>0.5</v>
      </c>
      <c r="R140" s="3">
        <v>0.5</v>
      </c>
      <c r="S140" s="3">
        <v>0.5</v>
      </c>
      <c r="T140" s="3">
        <f>SUM(Table145[[#This Row],[Relevence 0,1,0.5]:[Findings 0,1,0.5]])</f>
        <v>1.5</v>
      </c>
    </row>
    <row r="141" spans="1:20" ht="15" customHeight="1" x14ac:dyDescent="0.25">
      <c r="A141" s="1" t="s">
        <v>40</v>
      </c>
      <c r="B141" s="1" t="s">
        <v>34</v>
      </c>
      <c r="C141" s="1" t="s">
        <v>879</v>
      </c>
      <c r="D141" s="1">
        <v>2023</v>
      </c>
      <c r="E141" s="1" t="s">
        <v>884</v>
      </c>
      <c r="F141" s="1" t="s">
        <v>2287</v>
      </c>
      <c r="I141" s="1" t="s">
        <v>881</v>
      </c>
      <c r="L141" s="1" t="s">
        <v>2288</v>
      </c>
      <c r="M141" s="1" t="s">
        <v>883</v>
      </c>
      <c r="N141" s="1" t="s">
        <v>2289</v>
      </c>
      <c r="O141" s="1" t="s">
        <v>2290</v>
      </c>
      <c r="P141" s="3">
        <v>0</v>
      </c>
      <c r="Q141" s="3">
        <v>0.5</v>
      </c>
      <c r="R141" s="3">
        <v>0</v>
      </c>
      <c r="S141" s="3">
        <v>0.5</v>
      </c>
      <c r="T141" s="3">
        <f>SUM(Table145[[#This Row],[Relevence 0,1,0.5]:[Findings 0,1,0.5]])</f>
        <v>1</v>
      </c>
    </row>
    <row r="142" spans="1:20" ht="15" customHeight="1" x14ac:dyDescent="0.25">
      <c r="A142" s="1" t="s">
        <v>40</v>
      </c>
      <c r="B142" s="1" t="s">
        <v>14</v>
      </c>
      <c r="C142" s="1" t="s">
        <v>2309</v>
      </c>
      <c r="D142" s="1">
        <v>2022</v>
      </c>
      <c r="E142" s="1" t="s">
        <v>1667</v>
      </c>
      <c r="F142" s="1" t="s">
        <v>2310</v>
      </c>
      <c r="G142" s="1">
        <v>10</v>
      </c>
      <c r="H142" s="1">
        <v>5</v>
      </c>
      <c r="L142" s="1" t="s">
        <v>2311</v>
      </c>
      <c r="M142" s="1" t="s">
        <v>1669</v>
      </c>
      <c r="N142" s="1" t="s">
        <v>2312</v>
      </c>
      <c r="O142" s="1" t="s">
        <v>2313</v>
      </c>
      <c r="P142" s="3">
        <v>1</v>
      </c>
      <c r="Q142" s="3">
        <v>1</v>
      </c>
      <c r="R142" s="3">
        <v>1</v>
      </c>
      <c r="S142" s="3">
        <v>0.5</v>
      </c>
      <c r="T142" s="3">
        <f>SUM(Table145[[#This Row],[Relevence 0,1,0.5]:[Findings 0,1,0.5]])</f>
        <v>3.5</v>
      </c>
    </row>
  </sheetData>
  <conditionalFormatting sqref="P1">
    <cfRule type="iconSet" priority="8">
      <iconSet iconSet="3Symbols2">
        <cfvo type="percent" val="0"/>
        <cfvo type="percent" val="33"/>
        <cfvo type="percent" val="67"/>
      </iconSet>
    </cfRule>
    <cfRule type="iconSet" priority="9">
      <iconSet iconSet="3Symbols2">
        <cfvo type="percent" val="0"/>
        <cfvo type="percent" val="33"/>
        <cfvo type="percent" val="67"/>
      </iconSet>
    </cfRule>
  </conditionalFormatting>
  <conditionalFormatting sqref="Q1">
    <cfRule type="iconSet" priority="6">
      <iconSet iconSet="3Symbols2">
        <cfvo type="percent" val="0"/>
        <cfvo type="percent" val="33"/>
        <cfvo type="percent" val="67"/>
      </iconSet>
    </cfRule>
    <cfRule type="iconSet" priority="7">
      <iconSet iconSet="3Symbols2">
        <cfvo type="percent" val="0"/>
        <cfvo type="percent" val="33"/>
        <cfvo type="percent" val="67"/>
      </iconSet>
    </cfRule>
  </conditionalFormatting>
  <conditionalFormatting sqref="R1">
    <cfRule type="iconSet" priority="4">
      <iconSet iconSet="3Symbols2">
        <cfvo type="percent" val="0"/>
        <cfvo type="percent" val="33"/>
        <cfvo type="percent" val="67"/>
      </iconSet>
    </cfRule>
    <cfRule type="iconSet" priority="5">
      <iconSet iconSet="3Symbols2">
        <cfvo type="percent" val="0"/>
        <cfvo type="percent" val="33"/>
        <cfvo type="percent" val="67"/>
      </iconSet>
    </cfRule>
  </conditionalFormatting>
  <conditionalFormatting sqref="S1">
    <cfRule type="iconSet" priority="10">
      <iconSet iconSet="3Symbols2">
        <cfvo type="percent" val="0"/>
        <cfvo type="percent" val="33"/>
        <cfvo type="percent" val="67"/>
      </iconSet>
    </cfRule>
  </conditionalFormatting>
  <conditionalFormatting sqref="T1">
    <cfRule type="iconSet" priority="2">
      <iconSet iconSet="3Symbols2">
        <cfvo type="percent" val="0"/>
        <cfvo type="percent" val="33"/>
        <cfvo type="percent" val="67"/>
      </iconSet>
    </cfRule>
    <cfRule type="iconSet" priority="3">
      <iconSet iconSet="3Symbols2">
        <cfvo type="percent" val="0"/>
        <cfvo type="percent" val="33"/>
        <cfvo type="percent" val="67"/>
      </iconSet>
    </cfRule>
  </conditionalFormatting>
  <conditionalFormatting sqref="T2:T142">
    <cfRule type="cellIs" dxfId="0" priority="1" operator="greaterThan">
      <formula>3.4</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18F06-1A2C-42C1-BA92-9F29206A9D42}">
  <sheetPr codeName="Sheet7">
    <tabColor theme="4" tint="-0.249977111117893"/>
  </sheetPr>
  <dimension ref="A1:O173"/>
  <sheetViews>
    <sheetView workbookViewId="0">
      <pane ySplit="1" topLeftCell="A2" activePane="bottomLeft" state="frozen"/>
      <selection pane="bottomLeft" sqref="A1:XFD1048576"/>
    </sheetView>
  </sheetViews>
  <sheetFormatPr defaultColWidth="9.140625" defaultRowHeight="15" customHeight="1" x14ac:dyDescent="0.25"/>
  <cols>
    <col min="1" max="1" width="19.28515625" style="1" customWidth="1"/>
    <col min="2" max="2" width="17" style="1" customWidth="1"/>
    <col min="3" max="3" width="11" style="1" customWidth="1"/>
    <col min="4" max="4" width="7.140625" style="1" customWidth="1"/>
    <col min="5" max="5" width="18.28515625" style="1" customWidth="1"/>
    <col min="6" max="6" width="17.28515625" style="1" customWidth="1"/>
    <col min="7" max="7" width="10.140625" style="1" customWidth="1"/>
    <col min="8" max="8" width="10.42578125" style="1" customWidth="1"/>
    <col min="9" max="9" width="8.28515625" style="1" customWidth="1"/>
    <col min="10" max="10" width="11.5703125" style="1" customWidth="1"/>
    <col min="11" max="11" width="17.140625" style="1" customWidth="1"/>
    <col min="12" max="12" width="6.5703125" style="1" customWidth="1"/>
    <col min="13" max="13" width="6.42578125" style="1" customWidth="1"/>
    <col min="14" max="14" width="11.85546875" style="1" customWidth="1"/>
    <col min="15" max="15" width="10.42578125" style="1" customWidth="1"/>
    <col min="16" max="16384" width="9.140625" style="1"/>
  </cols>
  <sheetData>
    <row r="1" spans="1:15" ht="15" customHeight="1" x14ac:dyDescent="0.25">
      <c r="A1" s="21" t="s">
        <v>358</v>
      </c>
      <c r="B1" s="19" t="s">
        <v>359</v>
      </c>
      <c r="C1" s="19" t="s">
        <v>360</v>
      </c>
      <c r="D1" s="22" t="s">
        <v>2</v>
      </c>
      <c r="E1" s="19" t="s">
        <v>3</v>
      </c>
      <c r="F1" s="23" t="s">
        <v>361</v>
      </c>
      <c r="G1" s="19" t="s">
        <v>362</v>
      </c>
      <c r="H1" s="19" t="s">
        <v>363</v>
      </c>
      <c r="I1" s="23" t="s">
        <v>364</v>
      </c>
      <c r="J1" s="19" t="s">
        <v>365</v>
      </c>
      <c r="K1" s="19" t="s">
        <v>366</v>
      </c>
      <c r="L1" s="19" t="s">
        <v>367</v>
      </c>
      <c r="M1" s="19" t="s">
        <v>6</v>
      </c>
      <c r="N1" s="19" t="s">
        <v>368</v>
      </c>
      <c r="O1" s="19" t="s">
        <v>369</v>
      </c>
    </row>
    <row r="2" spans="1:15" ht="15" customHeight="1" x14ac:dyDescent="0.25">
      <c r="A2" s="1" t="s">
        <v>378</v>
      </c>
      <c r="B2" s="1" t="s">
        <v>34</v>
      </c>
      <c r="C2" s="1" t="s">
        <v>35</v>
      </c>
      <c r="D2" s="1">
        <v>2023</v>
      </c>
      <c r="E2" s="1" t="s">
        <v>36</v>
      </c>
      <c r="F2" s="1" t="s">
        <v>548</v>
      </c>
      <c r="I2" s="24">
        <v>45413</v>
      </c>
      <c r="M2" s="1" t="s">
        <v>38</v>
      </c>
      <c r="N2" s="1" t="s">
        <v>549</v>
      </c>
      <c r="O2" s="1" t="s">
        <v>550</v>
      </c>
    </row>
    <row r="3" spans="1:15" ht="15" customHeight="1" x14ac:dyDescent="0.25">
      <c r="A3" s="1" t="s">
        <v>378</v>
      </c>
      <c r="B3" s="1" t="s">
        <v>34</v>
      </c>
      <c r="C3" s="1" t="s">
        <v>385</v>
      </c>
      <c r="D3" s="1">
        <v>2023</v>
      </c>
      <c r="E3" s="1" t="s">
        <v>386</v>
      </c>
      <c r="F3" s="1" t="s">
        <v>387</v>
      </c>
      <c r="I3" s="1" t="s">
        <v>388</v>
      </c>
      <c r="M3" s="1" t="s">
        <v>389</v>
      </c>
      <c r="N3" s="1" t="s">
        <v>561</v>
      </c>
      <c r="O3" s="1" t="s">
        <v>390</v>
      </c>
    </row>
    <row r="4" spans="1:15" ht="15" customHeight="1" x14ac:dyDescent="0.25">
      <c r="A4" s="1" t="s">
        <v>378</v>
      </c>
      <c r="B4" s="1" t="s">
        <v>34</v>
      </c>
      <c r="C4" s="1" t="s">
        <v>86</v>
      </c>
      <c r="D4" s="1">
        <v>2020</v>
      </c>
      <c r="E4" s="1" t="s">
        <v>87</v>
      </c>
      <c r="F4" s="1" t="s">
        <v>588</v>
      </c>
      <c r="I4" s="24">
        <v>45413</v>
      </c>
      <c r="M4" s="1" t="s">
        <v>89</v>
      </c>
      <c r="N4" s="1" t="s">
        <v>589</v>
      </c>
      <c r="O4" s="1" t="s">
        <v>590</v>
      </c>
    </row>
    <row r="5" spans="1:15" ht="15" customHeight="1" x14ac:dyDescent="0.25">
      <c r="A5" s="1" t="s">
        <v>378</v>
      </c>
      <c r="B5" s="1" t="s">
        <v>34</v>
      </c>
      <c r="C5" s="1" t="s">
        <v>92</v>
      </c>
      <c r="D5" s="1">
        <v>2023</v>
      </c>
      <c r="E5" s="1" t="s">
        <v>93</v>
      </c>
      <c r="F5" s="1" t="s">
        <v>591</v>
      </c>
      <c r="I5" s="1" t="s">
        <v>592</v>
      </c>
      <c r="M5" s="1" t="s">
        <v>95</v>
      </c>
      <c r="N5" s="1" t="s">
        <v>593</v>
      </c>
      <c r="O5" s="1" t="s">
        <v>594</v>
      </c>
    </row>
    <row r="6" spans="1:15" ht="15" customHeight="1" x14ac:dyDescent="0.25">
      <c r="A6" s="1" t="s">
        <v>378</v>
      </c>
      <c r="B6" s="1" t="s">
        <v>34</v>
      </c>
      <c r="C6" s="1" t="s">
        <v>609</v>
      </c>
      <c r="D6" s="1">
        <v>2023</v>
      </c>
      <c r="E6" s="1" t="s">
        <v>613</v>
      </c>
      <c r="F6" s="1" t="s">
        <v>610</v>
      </c>
      <c r="I6" s="24">
        <v>45444</v>
      </c>
      <c r="M6" s="1" t="s">
        <v>612</v>
      </c>
      <c r="N6" s="1" t="s">
        <v>611</v>
      </c>
      <c r="O6" s="1" t="s">
        <v>614</v>
      </c>
    </row>
    <row r="7" spans="1:15" ht="15" customHeight="1" x14ac:dyDescent="0.25">
      <c r="A7" s="1" t="s">
        <v>378</v>
      </c>
      <c r="B7" s="1" t="s">
        <v>34</v>
      </c>
      <c r="C7" s="1" t="s">
        <v>394</v>
      </c>
      <c r="D7" s="1">
        <v>2022</v>
      </c>
      <c r="E7" s="1" t="s">
        <v>395</v>
      </c>
      <c r="F7" s="1" t="s">
        <v>396</v>
      </c>
      <c r="I7" s="1" t="s">
        <v>397</v>
      </c>
      <c r="M7" s="1" t="s">
        <v>398</v>
      </c>
      <c r="N7" s="1" t="s">
        <v>624</v>
      </c>
      <c r="O7" s="1" t="s">
        <v>399</v>
      </c>
    </row>
    <row r="8" spans="1:15" ht="15" customHeight="1" x14ac:dyDescent="0.25">
      <c r="A8" s="1" t="s">
        <v>378</v>
      </c>
      <c r="B8" s="1" t="s">
        <v>34</v>
      </c>
      <c r="C8" s="1" t="s">
        <v>162</v>
      </c>
      <c r="D8" s="1">
        <v>2021</v>
      </c>
      <c r="E8" s="1" t="s">
        <v>163</v>
      </c>
      <c r="F8" s="1" t="s">
        <v>657</v>
      </c>
      <c r="I8" s="1" t="s">
        <v>658</v>
      </c>
      <c r="M8" s="1" t="s">
        <v>165</v>
      </c>
      <c r="N8" s="1" t="s">
        <v>659</v>
      </c>
      <c r="O8" s="1" t="s">
        <v>660</v>
      </c>
    </row>
    <row r="9" spans="1:15" ht="15" customHeight="1" x14ac:dyDescent="0.25">
      <c r="A9" s="1" t="s">
        <v>378</v>
      </c>
      <c r="B9" s="1" t="s">
        <v>34</v>
      </c>
      <c r="C9" s="1" t="s">
        <v>174</v>
      </c>
      <c r="D9" s="1">
        <v>2022</v>
      </c>
      <c r="E9" s="1" t="s">
        <v>175</v>
      </c>
      <c r="F9" s="1" t="s">
        <v>176</v>
      </c>
      <c r="I9" s="1" t="s">
        <v>712</v>
      </c>
      <c r="M9" s="1" t="s">
        <v>178</v>
      </c>
      <c r="N9" s="1" t="s">
        <v>713</v>
      </c>
      <c r="O9" s="1" t="s">
        <v>714</v>
      </c>
    </row>
    <row r="10" spans="1:15" ht="15" customHeight="1" x14ac:dyDescent="0.25">
      <c r="A10" s="1" t="s">
        <v>378</v>
      </c>
      <c r="B10" s="1" t="s">
        <v>14</v>
      </c>
      <c r="C10" s="1" t="s">
        <v>715</v>
      </c>
      <c r="D10" s="1">
        <v>2024</v>
      </c>
      <c r="E10" s="1" t="s">
        <v>719</v>
      </c>
      <c r="F10" s="1" t="s">
        <v>409</v>
      </c>
      <c r="G10" s="1">
        <v>24</v>
      </c>
      <c r="H10" s="1">
        <v>1</v>
      </c>
      <c r="I10" s="1" t="s">
        <v>716</v>
      </c>
      <c r="M10" s="1" t="s">
        <v>718</v>
      </c>
      <c r="N10" s="1" t="s">
        <v>717</v>
      </c>
      <c r="O10" s="1" t="s">
        <v>720</v>
      </c>
    </row>
    <row r="11" spans="1:15" ht="15" customHeight="1" x14ac:dyDescent="0.25">
      <c r="A11" s="1" t="s">
        <v>378</v>
      </c>
      <c r="B11" s="1" t="s">
        <v>34</v>
      </c>
      <c r="C11" s="1" t="s">
        <v>187</v>
      </c>
      <c r="D11" s="1">
        <v>2023</v>
      </c>
      <c r="E11" s="1" t="s">
        <v>188</v>
      </c>
      <c r="F11" s="1" t="s">
        <v>543</v>
      </c>
      <c r="I11" s="24">
        <v>45444</v>
      </c>
      <c r="M11" s="1" t="s">
        <v>190</v>
      </c>
      <c r="N11" s="1" t="s">
        <v>729</v>
      </c>
      <c r="O11" s="1" t="s">
        <v>730</v>
      </c>
    </row>
    <row r="12" spans="1:15" ht="15" customHeight="1" x14ac:dyDescent="0.25">
      <c r="A12" s="1" t="s">
        <v>378</v>
      </c>
      <c r="B12" s="1" t="s">
        <v>34</v>
      </c>
      <c r="C12" s="1" t="s">
        <v>731</v>
      </c>
      <c r="D12" s="1">
        <v>2022</v>
      </c>
      <c r="E12" s="1" t="s">
        <v>734</v>
      </c>
      <c r="F12" s="1" t="s">
        <v>381</v>
      </c>
      <c r="I12" s="24">
        <v>45413</v>
      </c>
      <c r="M12" s="1" t="s">
        <v>733</v>
      </c>
      <c r="N12" s="1" t="s">
        <v>732</v>
      </c>
      <c r="O12" s="1" t="s">
        <v>735</v>
      </c>
    </row>
    <row r="13" spans="1:15" ht="15" customHeight="1" x14ac:dyDescent="0.25">
      <c r="A13" s="1" t="s">
        <v>378</v>
      </c>
      <c r="B13" s="1" t="s">
        <v>34</v>
      </c>
      <c r="C13" s="1" t="s">
        <v>192</v>
      </c>
      <c r="D13" s="1">
        <v>2022</v>
      </c>
      <c r="E13" s="1" t="s">
        <v>193</v>
      </c>
      <c r="F13" s="1" t="s">
        <v>194</v>
      </c>
      <c r="I13" s="1" t="s">
        <v>748</v>
      </c>
      <c r="M13" s="1" t="s">
        <v>196</v>
      </c>
      <c r="N13" s="1" t="s">
        <v>749</v>
      </c>
      <c r="O13" s="1" t="s">
        <v>750</v>
      </c>
    </row>
    <row r="14" spans="1:15" ht="15" customHeight="1" x14ac:dyDescent="0.25">
      <c r="A14" s="1" t="s">
        <v>378</v>
      </c>
      <c r="B14" s="1" t="s">
        <v>34</v>
      </c>
      <c r="C14" s="1" t="s">
        <v>243</v>
      </c>
      <c r="D14" s="1">
        <v>2021</v>
      </c>
      <c r="E14" s="1" t="s">
        <v>244</v>
      </c>
      <c r="F14" s="1" t="s">
        <v>245</v>
      </c>
      <c r="I14" s="1" t="s">
        <v>762</v>
      </c>
      <c r="M14" s="1" t="s">
        <v>247</v>
      </c>
      <c r="N14" s="1" t="s">
        <v>763</v>
      </c>
      <c r="O14" s="1" t="s">
        <v>764</v>
      </c>
    </row>
    <row r="15" spans="1:15" ht="15" customHeight="1" x14ac:dyDescent="0.25">
      <c r="A15" s="1" t="s">
        <v>378</v>
      </c>
      <c r="B15" s="1" t="s">
        <v>34</v>
      </c>
      <c r="C15" s="1" t="s">
        <v>259</v>
      </c>
      <c r="D15" s="1">
        <v>2023</v>
      </c>
      <c r="E15" s="1" t="s">
        <v>260</v>
      </c>
      <c r="F15" s="1" t="s">
        <v>261</v>
      </c>
      <c r="I15" s="24">
        <v>45444</v>
      </c>
      <c r="M15" s="1" t="s">
        <v>263</v>
      </c>
      <c r="N15" s="1" t="s">
        <v>765</v>
      </c>
      <c r="O15" s="1" t="s">
        <v>766</v>
      </c>
    </row>
    <row r="16" spans="1:15" ht="15" customHeight="1" x14ac:dyDescent="0.25">
      <c r="A16" s="1" t="s">
        <v>378</v>
      </c>
      <c r="B16" s="1" t="s">
        <v>34</v>
      </c>
      <c r="C16" s="1" t="s">
        <v>767</v>
      </c>
      <c r="D16" s="1">
        <v>2022</v>
      </c>
      <c r="E16" s="1" t="s">
        <v>771</v>
      </c>
      <c r="F16" s="1" t="s">
        <v>768</v>
      </c>
      <c r="I16" s="24">
        <v>45444</v>
      </c>
      <c r="M16" s="1" t="s">
        <v>770</v>
      </c>
      <c r="N16" s="1" t="s">
        <v>769</v>
      </c>
      <c r="O16" s="1" t="s">
        <v>772</v>
      </c>
    </row>
    <row r="17" spans="1:15" ht="15" customHeight="1" x14ac:dyDescent="0.25">
      <c r="A17" s="1" t="s">
        <v>378</v>
      </c>
      <c r="B17" s="1" t="s">
        <v>34</v>
      </c>
      <c r="C17" s="1" t="s">
        <v>290</v>
      </c>
      <c r="D17" s="1">
        <v>2023</v>
      </c>
      <c r="E17" s="1" t="s">
        <v>291</v>
      </c>
      <c r="F17" s="1" t="s">
        <v>292</v>
      </c>
      <c r="I17" s="24">
        <v>45474</v>
      </c>
      <c r="M17" s="1" t="s">
        <v>294</v>
      </c>
      <c r="N17" s="1" t="s">
        <v>773</v>
      </c>
      <c r="O17" s="1" t="s">
        <v>774</v>
      </c>
    </row>
    <row r="18" spans="1:15" ht="15" customHeight="1" x14ac:dyDescent="0.25">
      <c r="A18" s="1" t="s">
        <v>378</v>
      </c>
      <c r="B18" s="1" t="s">
        <v>34</v>
      </c>
      <c r="C18" s="1" t="s">
        <v>297</v>
      </c>
      <c r="D18" s="1">
        <v>2023</v>
      </c>
      <c r="E18" s="1" t="s">
        <v>298</v>
      </c>
      <c r="F18" s="1" t="s">
        <v>299</v>
      </c>
      <c r="I18" s="24">
        <v>45444</v>
      </c>
      <c r="M18" s="1" t="s">
        <v>301</v>
      </c>
      <c r="N18" s="1" t="s">
        <v>775</v>
      </c>
      <c r="O18" s="1" t="s">
        <v>776</v>
      </c>
    </row>
    <row r="19" spans="1:15" ht="15" customHeight="1" x14ac:dyDescent="0.25">
      <c r="A19" s="1" t="s">
        <v>378</v>
      </c>
      <c r="B19" s="1" t="s">
        <v>34</v>
      </c>
      <c r="C19" s="1" t="s">
        <v>800</v>
      </c>
      <c r="D19" s="1">
        <v>2022</v>
      </c>
      <c r="E19" s="1" t="s">
        <v>805</v>
      </c>
      <c r="F19" s="1" t="s">
        <v>801</v>
      </c>
      <c r="I19" s="1" t="s">
        <v>802</v>
      </c>
      <c r="M19" s="1" t="s">
        <v>804</v>
      </c>
      <c r="N19" s="1" t="s">
        <v>803</v>
      </c>
      <c r="O19" s="1" t="s">
        <v>806</v>
      </c>
    </row>
    <row r="20" spans="1:15" ht="15" customHeight="1" x14ac:dyDescent="0.25">
      <c r="A20" s="1" t="s">
        <v>378</v>
      </c>
      <c r="B20" s="1" t="s">
        <v>34</v>
      </c>
      <c r="C20" s="1" t="s">
        <v>824</v>
      </c>
      <c r="D20" s="1">
        <v>2023</v>
      </c>
      <c r="E20" s="1" t="s">
        <v>828</v>
      </c>
      <c r="F20" s="1" t="s">
        <v>675</v>
      </c>
      <c r="I20" s="1" t="s">
        <v>825</v>
      </c>
      <c r="M20" s="1" t="s">
        <v>827</v>
      </c>
      <c r="N20" s="1" t="s">
        <v>826</v>
      </c>
      <c r="O20" s="1" t="s">
        <v>829</v>
      </c>
    </row>
    <row r="21" spans="1:15" ht="15" customHeight="1" x14ac:dyDescent="0.25">
      <c r="A21" s="1" t="s">
        <v>378</v>
      </c>
      <c r="B21" s="1" t="s">
        <v>34</v>
      </c>
      <c r="C21" s="1" t="s">
        <v>412</v>
      </c>
      <c r="D21" s="1">
        <v>2022</v>
      </c>
      <c r="E21" s="1" t="s">
        <v>413</v>
      </c>
      <c r="F21" s="1" t="s">
        <v>414</v>
      </c>
      <c r="I21" s="1" t="s">
        <v>415</v>
      </c>
      <c r="M21" s="1" t="s">
        <v>416</v>
      </c>
      <c r="N21" s="1" t="s">
        <v>830</v>
      </c>
      <c r="O21" s="1" t="s">
        <v>417</v>
      </c>
    </row>
    <row r="22" spans="1:15" ht="15" customHeight="1" x14ac:dyDescent="0.25">
      <c r="A22" s="1" t="s">
        <v>378</v>
      </c>
      <c r="B22" s="1" t="s">
        <v>14</v>
      </c>
      <c r="C22" s="1" t="s">
        <v>418</v>
      </c>
      <c r="D22" s="1">
        <v>2022</v>
      </c>
      <c r="E22" s="1" t="s">
        <v>419</v>
      </c>
      <c r="F22" s="1" t="s">
        <v>400</v>
      </c>
      <c r="G22" s="1">
        <v>71</v>
      </c>
      <c r="I22" s="24">
        <v>45627</v>
      </c>
      <c r="M22" s="1" t="s">
        <v>420</v>
      </c>
      <c r="N22" s="1" t="s">
        <v>831</v>
      </c>
      <c r="O22" s="1" t="s">
        <v>421</v>
      </c>
    </row>
    <row r="23" spans="1:15" ht="15" customHeight="1" x14ac:dyDescent="0.25">
      <c r="A23" s="1" t="s">
        <v>378</v>
      </c>
      <c r="B23" s="1" t="s">
        <v>34</v>
      </c>
      <c r="C23" s="1" t="s">
        <v>832</v>
      </c>
      <c r="D23" s="1">
        <v>2022</v>
      </c>
      <c r="E23" s="1" t="s">
        <v>836</v>
      </c>
      <c r="F23" s="1" t="s">
        <v>833</v>
      </c>
      <c r="I23" s="24">
        <v>45444</v>
      </c>
      <c r="M23" s="1" t="s">
        <v>835</v>
      </c>
      <c r="N23" s="1" t="s">
        <v>834</v>
      </c>
      <c r="O23" s="1" t="s">
        <v>837</v>
      </c>
    </row>
    <row r="24" spans="1:15" ht="15" customHeight="1" x14ac:dyDescent="0.25">
      <c r="A24" s="1" t="s">
        <v>378</v>
      </c>
      <c r="B24" s="1" t="s">
        <v>34</v>
      </c>
      <c r="C24" s="1" t="s">
        <v>851</v>
      </c>
      <c r="D24" s="1">
        <v>2023</v>
      </c>
      <c r="E24" s="1" t="s">
        <v>855</v>
      </c>
      <c r="F24" s="1" t="s">
        <v>852</v>
      </c>
      <c r="I24" s="24">
        <v>45505</v>
      </c>
      <c r="M24" s="1" t="s">
        <v>854</v>
      </c>
      <c r="N24" s="1" t="s">
        <v>853</v>
      </c>
      <c r="O24" s="1" t="s">
        <v>856</v>
      </c>
    </row>
    <row r="25" spans="1:15" ht="15" customHeight="1" x14ac:dyDescent="0.25">
      <c r="A25" s="1" t="s">
        <v>378</v>
      </c>
      <c r="B25" s="1" t="s">
        <v>34</v>
      </c>
      <c r="C25" s="1" t="s">
        <v>857</v>
      </c>
      <c r="D25" s="1">
        <v>2023</v>
      </c>
      <c r="E25" s="1" t="s">
        <v>862</v>
      </c>
      <c r="F25" s="1" t="s">
        <v>858</v>
      </c>
      <c r="I25" s="1" t="s">
        <v>859</v>
      </c>
      <c r="M25" s="1" t="s">
        <v>861</v>
      </c>
      <c r="N25" s="1" t="s">
        <v>860</v>
      </c>
      <c r="O25" s="1" t="s">
        <v>863</v>
      </c>
    </row>
    <row r="26" spans="1:15" ht="15" customHeight="1" x14ac:dyDescent="0.25">
      <c r="A26" s="1" t="s">
        <v>378</v>
      </c>
      <c r="B26" s="1" t="s">
        <v>34</v>
      </c>
      <c r="C26" s="1" t="s">
        <v>864</v>
      </c>
      <c r="D26" s="1">
        <v>2023</v>
      </c>
      <c r="E26" s="1" t="s">
        <v>869</v>
      </c>
      <c r="F26" s="1" t="s">
        <v>865</v>
      </c>
      <c r="I26" s="1" t="s">
        <v>866</v>
      </c>
      <c r="M26" s="1" t="s">
        <v>868</v>
      </c>
      <c r="N26" s="1" t="s">
        <v>867</v>
      </c>
      <c r="O26" s="1" t="s">
        <v>870</v>
      </c>
    </row>
    <row r="27" spans="1:15" ht="15" customHeight="1" x14ac:dyDescent="0.25">
      <c r="A27" s="1" t="s">
        <v>378</v>
      </c>
      <c r="B27" s="1" t="s">
        <v>34</v>
      </c>
      <c r="C27" s="1" t="s">
        <v>871</v>
      </c>
      <c r="D27" s="1">
        <v>2023</v>
      </c>
      <c r="E27" s="1" t="s">
        <v>876</v>
      </c>
      <c r="F27" s="1" t="s">
        <v>872</v>
      </c>
      <c r="I27" s="1" t="s">
        <v>873</v>
      </c>
      <c r="M27" s="1" t="s">
        <v>875</v>
      </c>
      <c r="N27" s="1" t="s">
        <v>874</v>
      </c>
      <c r="O27" s="1" t="s">
        <v>877</v>
      </c>
    </row>
    <row r="28" spans="1:15" ht="15" customHeight="1" x14ac:dyDescent="0.25">
      <c r="A28" s="1" t="s">
        <v>378</v>
      </c>
      <c r="B28" s="1" t="s">
        <v>14</v>
      </c>
      <c r="C28" s="1" t="s">
        <v>354</v>
      </c>
      <c r="D28" s="1">
        <v>2023</v>
      </c>
      <c r="E28" s="1" t="s">
        <v>355</v>
      </c>
      <c r="F28" s="1" t="s">
        <v>379</v>
      </c>
      <c r="G28" s="1">
        <v>11</v>
      </c>
      <c r="I28" s="1" t="s">
        <v>423</v>
      </c>
      <c r="M28" s="1" t="s">
        <v>356</v>
      </c>
      <c r="N28" s="1" t="s">
        <v>878</v>
      </c>
      <c r="O28" s="1" t="s">
        <v>424</v>
      </c>
    </row>
    <row r="29" spans="1:15" ht="15" customHeight="1" x14ac:dyDescent="0.25">
      <c r="A29" s="1" t="s">
        <v>371</v>
      </c>
      <c r="B29" s="1" t="s">
        <v>14</v>
      </c>
      <c r="C29" s="1" t="s">
        <v>923</v>
      </c>
      <c r="D29" s="1">
        <v>2023</v>
      </c>
      <c r="E29" s="1" t="s">
        <v>924</v>
      </c>
      <c r="F29" s="1" t="s">
        <v>375</v>
      </c>
      <c r="G29" s="1">
        <v>60</v>
      </c>
      <c r="H29" s="1">
        <v>2</v>
      </c>
      <c r="I29" s="1">
        <v>103225</v>
      </c>
      <c r="L29" s="1" t="s">
        <v>925</v>
      </c>
      <c r="M29" s="1" t="s">
        <v>926</v>
      </c>
      <c r="N29" s="1" t="s">
        <v>927</v>
      </c>
      <c r="O29" s="1" t="s">
        <v>928</v>
      </c>
    </row>
    <row r="30" spans="1:15" ht="15" customHeight="1" x14ac:dyDescent="0.25">
      <c r="A30" s="1" t="s">
        <v>371</v>
      </c>
      <c r="B30" s="1" t="s">
        <v>14</v>
      </c>
      <c r="C30" s="1" t="s">
        <v>25</v>
      </c>
      <c r="D30" s="1">
        <v>2024</v>
      </c>
      <c r="E30" s="1" t="s">
        <v>26</v>
      </c>
      <c r="F30" s="1" t="s">
        <v>27</v>
      </c>
      <c r="G30" s="1">
        <v>93</v>
      </c>
      <c r="I30" s="1">
        <v>106125</v>
      </c>
      <c r="L30" s="1" t="s">
        <v>31</v>
      </c>
      <c r="M30" s="1" t="s">
        <v>30</v>
      </c>
      <c r="N30" s="1" t="s">
        <v>929</v>
      </c>
      <c r="O30" s="1" t="s">
        <v>930</v>
      </c>
    </row>
    <row r="31" spans="1:15" ht="15" customHeight="1" x14ac:dyDescent="0.25">
      <c r="A31" s="1" t="s">
        <v>371</v>
      </c>
      <c r="B31" s="1" t="s">
        <v>14</v>
      </c>
      <c r="C31" s="1" t="s">
        <v>931</v>
      </c>
      <c r="D31" s="1">
        <v>2021</v>
      </c>
      <c r="E31" s="1" t="s">
        <v>932</v>
      </c>
      <c r="F31" s="1" t="s">
        <v>933</v>
      </c>
      <c r="G31" s="1">
        <v>91</v>
      </c>
      <c r="I31" s="1">
        <v>101939</v>
      </c>
      <c r="L31" s="1" t="s">
        <v>934</v>
      </c>
      <c r="M31" s="1" t="s">
        <v>935</v>
      </c>
      <c r="N31" s="1" t="s">
        <v>936</v>
      </c>
      <c r="O31" s="1" t="s">
        <v>937</v>
      </c>
    </row>
    <row r="32" spans="1:15" ht="15" customHeight="1" x14ac:dyDescent="0.25">
      <c r="A32" s="1" t="s">
        <v>371</v>
      </c>
      <c r="B32" s="1" t="s">
        <v>14</v>
      </c>
      <c r="C32" s="1" t="s">
        <v>945</v>
      </c>
      <c r="D32" s="1">
        <v>2024</v>
      </c>
      <c r="E32" s="1" t="s">
        <v>946</v>
      </c>
      <c r="F32" s="1" t="s">
        <v>116</v>
      </c>
      <c r="G32" s="1">
        <v>170</v>
      </c>
      <c r="I32" s="1">
        <v>108029</v>
      </c>
      <c r="L32" s="1" t="s">
        <v>947</v>
      </c>
      <c r="M32" s="1" t="s">
        <v>948</v>
      </c>
      <c r="N32" s="1" t="s">
        <v>949</v>
      </c>
      <c r="O32" s="1" t="s">
        <v>950</v>
      </c>
    </row>
    <row r="33" spans="1:15" ht="15" customHeight="1" x14ac:dyDescent="0.25">
      <c r="A33" s="1" t="s">
        <v>371</v>
      </c>
      <c r="B33" s="1" t="s">
        <v>14</v>
      </c>
      <c r="C33" s="1" t="s">
        <v>964</v>
      </c>
      <c r="D33" s="1">
        <v>2023</v>
      </c>
      <c r="E33" s="1" t="s">
        <v>965</v>
      </c>
      <c r="F33" s="1" t="s">
        <v>966</v>
      </c>
      <c r="G33" s="1">
        <v>3</v>
      </c>
      <c r="H33" s="1">
        <v>2</v>
      </c>
      <c r="I33" s="1">
        <v>100119</v>
      </c>
      <c r="L33" s="1" t="s">
        <v>967</v>
      </c>
      <c r="M33" s="1" t="s">
        <v>968</v>
      </c>
      <c r="N33" s="1" t="s">
        <v>969</v>
      </c>
      <c r="O33" s="1" t="s">
        <v>970</v>
      </c>
    </row>
    <row r="34" spans="1:15" ht="15" customHeight="1" x14ac:dyDescent="0.25">
      <c r="A34" s="1" t="s">
        <v>371</v>
      </c>
      <c r="B34" s="1" t="s">
        <v>14</v>
      </c>
      <c r="C34" s="1" t="s">
        <v>971</v>
      </c>
      <c r="D34" s="1">
        <v>2023</v>
      </c>
      <c r="E34" s="1" t="s">
        <v>972</v>
      </c>
      <c r="F34" s="1" t="s">
        <v>373</v>
      </c>
      <c r="G34" s="1">
        <v>144</v>
      </c>
      <c r="I34" s="1">
        <v>102657</v>
      </c>
      <c r="L34" s="1" t="s">
        <v>973</v>
      </c>
      <c r="M34" s="1" t="s">
        <v>974</v>
      </c>
      <c r="N34" s="1" t="s">
        <v>975</v>
      </c>
      <c r="O34" s="1" t="s">
        <v>976</v>
      </c>
    </row>
    <row r="35" spans="1:15" ht="15" customHeight="1" x14ac:dyDescent="0.25">
      <c r="A35" s="1" t="s">
        <v>371</v>
      </c>
      <c r="B35" s="1" t="s">
        <v>14</v>
      </c>
      <c r="C35" s="1" t="s">
        <v>977</v>
      </c>
      <c r="D35" s="1">
        <v>2022</v>
      </c>
      <c r="E35" s="1" t="s">
        <v>978</v>
      </c>
      <c r="F35" s="1" t="s">
        <v>979</v>
      </c>
      <c r="G35" s="1">
        <v>199</v>
      </c>
      <c r="I35" s="1">
        <v>107199</v>
      </c>
      <c r="L35" s="1" t="s">
        <v>980</v>
      </c>
      <c r="M35" s="1" t="s">
        <v>981</v>
      </c>
      <c r="N35" s="1" t="s">
        <v>982</v>
      </c>
      <c r="O35" s="1" t="s">
        <v>983</v>
      </c>
    </row>
    <row r="36" spans="1:15" ht="15" customHeight="1" x14ac:dyDescent="0.25">
      <c r="A36" s="1" t="s">
        <v>371</v>
      </c>
      <c r="B36" s="1" t="s">
        <v>14</v>
      </c>
      <c r="C36" s="1" t="s">
        <v>98</v>
      </c>
      <c r="D36" s="1">
        <v>2024</v>
      </c>
      <c r="E36" s="1" t="s">
        <v>99</v>
      </c>
      <c r="F36" s="1" t="s">
        <v>116</v>
      </c>
      <c r="G36" s="1">
        <v>170</v>
      </c>
      <c r="I36" s="1">
        <v>108012</v>
      </c>
      <c r="L36" s="1" t="s">
        <v>104</v>
      </c>
      <c r="M36" s="1" t="s">
        <v>1005</v>
      </c>
      <c r="N36" s="1" t="s">
        <v>1006</v>
      </c>
      <c r="O36" s="1" t="s">
        <v>1007</v>
      </c>
    </row>
    <row r="37" spans="1:15" ht="15" customHeight="1" x14ac:dyDescent="0.25">
      <c r="A37" s="1" t="s">
        <v>371</v>
      </c>
      <c r="B37" s="1" t="s">
        <v>14</v>
      </c>
      <c r="C37" s="1" t="s">
        <v>1008</v>
      </c>
      <c r="D37" s="1">
        <v>2023</v>
      </c>
      <c r="E37" s="1" t="s">
        <v>1009</v>
      </c>
      <c r="F37" s="1" t="s">
        <v>284</v>
      </c>
      <c r="G37" s="1">
        <v>17</v>
      </c>
      <c r="I37" s="1">
        <v>200186</v>
      </c>
      <c r="L37" s="1" t="s">
        <v>1010</v>
      </c>
      <c r="M37" s="1" t="s">
        <v>1011</v>
      </c>
      <c r="N37" s="1" t="s">
        <v>1012</v>
      </c>
      <c r="O37" s="1" t="s">
        <v>1013</v>
      </c>
    </row>
    <row r="38" spans="1:15" ht="15" customHeight="1" x14ac:dyDescent="0.25">
      <c r="A38" s="1" t="s">
        <v>371</v>
      </c>
      <c r="B38" s="1" t="s">
        <v>14</v>
      </c>
      <c r="C38" s="1" t="s">
        <v>114</v>
      </c>
      <c r="D38" s="1">
        <v>2021</v>
      </c>
      <c r="E38" s="1" t="s">
        <v>115</v>
      </c>
      <c r="F38" s="1" t="s">
        <v>116</v>
      </c>
      <c r="G38" s="1">
        <v>137</v>
      </c>
      <c r="I38" s="1">
        <v>104789</v>
      </c>
      <c r="L38" s="1" t="s">
        <v>119</v>
      </c>
      <c r="M38" s="1" t="s">
        <v>118</v>
      </c>
      <c r="N38" s="1" t="s">
        <v>1014</v>
      </c>
      <c r="O38" s="1" t="s">
        <v>1015</v>
      </c>
    </row>
    <row r="39" spans="1:15" ht="15" customHeight="1" x14ac:dyDescent="0.25">
      <c r="A39" s="1" t="s">
        <v>371</v>
      </c>
      <c r="B39" s="1" t="s">
        <v>14</v>
      </c>
      <c r="C39" s="1" t="s">
        <v>1016</v>
      </c>
      <c r="D39" s="1">
        <v>2023</v>
      </c>
      <c r="E39" s="1" t="s">
        <v>1017</v>
      </c>
      <c r="F39" s="1" t="s">
        <v>372</v>
      </c>
      <c r="G39" s="1">
        <v>240</v>
      </c>
      <c r="I39" s="1">
        <v>107718</v>
      </c>
      <c r="L39" s="1" t="s">
        <v>1018</v>
      </c>
      <c r="M39" s="1" t="s">
        <v>1019</v>
      </c>
      <c r="N39" s="1" t="s">
        <v>1020</v>
      </c>
      <c r="O39" s="1" t="s">
        <v>1021</v>
      </c>
    </row>
    <row r="40" spans="1:15" ht="15" customHeight="1" x14ac:dyDescent="0.25">
      <c r="A40" s="1" t="s">
        <v>371</v>
      </c>
      <c r="B40" s="1" t="s">
        <v>14</v>
      </c>
      <c r="C40" s="1" t="s">
        <v>1029</v>
      </c>
      <c r="D40" s="1">
        <v>2021</v>
      </c>
      <c r="E40" s="1" t="s">
        <v>1030</v>
      </c>
      <c r="F40" s="1" t="s">
        <v>511</v>
      </c>
      <c r="G40" s="1">
        <v>152</v>
      </c>
      <c r="I40" s="1" t="s">
        <v>1031</v>
      </c>
      <c r="L40" s="1" t="s">
        <v>1032</v>
      </c>
      <c r="M40" s="1" t="s">
        <v>1033</v>
      </c>
      <c r="N40" s="1" t="s">
        <v>1034</v>
      </c>
      <c r="O40" s="1" t="s">
        <v>1035</v>
      </c>
    </row>
    <row r="41" spans="1:15" ht="15" customHeight="1" x14ac:dyDescent="0.25">
      <c r="A41" s="1" t="s">
        <v>371</v>
      </c>
      <c r="B41" s="1" t="s">
        <v>14</v>
      </c>
      <c r="C41" s="1" t="s">
        <v>1051</v>
      </c>
      <c r="D41" s="1">
        <v>2024</v>
      </c>
      <c r="E41" s="1" t="s">
        <v>1052</v>
      </c>
      <c r="F41" s="1" t="s">
        <v>979</v>
      </c>
      <c r="G41" s="1">
        <v>218</v>
      </c>
      <c r="I41" s="1">
        <v>108668</v>
      </c>
      <c r="L41" s="1" t="s">
        <v>1053</v>
      </c>
      <c r="M41" s="1" t="s">
        <v>1054</v>
      </c>
      <c r="N41" s="1" t="s">
        <v>1055</v>
      </c>
      <c r="O41" s="1" t="s">
        <v>1056</v>
      </c>
    </row>
    <row r="42" spans="1:15" ht="15" customHeight="1" x14ac:dyDescent="0.25">
      <c r="A42" s="1" t="s">
        <v>371</v>
      </c>
      <c r="B42" s="1" t="s">
        <v>14</v>
      </c>
      <c r="C42" s="1" t="s">
        <v>1057</v>
      </c>
      <c r="D42" s="1">
        <v>2022</v>
      </c>
      <c r="E42" s="1" t="s">
        <v>1058</v>
      </c>
      <c r="F42" s="1" t="s">
        <v>372</v>
      </c>
      <c r="G42" s="1">
        <v>226</v>
      </c>
      <c r="I42" s="1">
        <v>107161</v>
      </c>
      <c r="L42" s="1" t="s">
        <v>1059</v>
      </c>
      <c r="M42" s="1" t="s">
        <v>1060</v>
      </c>
      <c r="N42" s="1" t="s">
        <v>1061</v>
      </c>
      <c r="O42" s="1" t="s">
        <v>1062</v>
      </c>
    </row>
    <row r="43" spans="1:15" ht="15" customHeight="1" x14ac:dyDescent="0.25">
      <c r="A43" s="1" t="s">
        <v>371</v>
      </c>
      <c r="B43" s="1" t="s">
        <v>14</v>
      </c>
      <c r="C43" s="1" t="s">
        <v>207</v>
      </c>
      <c r="D43" s="1">
        <v>2023</v>
      </c>
      <c r="E43" s="1" t="s">
        <v>208</v>
      </c>
      <c r="F43" s="1" t="s">
        <v>209</v>
      </c>
      <c r="G43" s="1">
        <v>218</v>
      </c>
      <c r="I43" s="1" t="s">
        <v>1085</v>
      </c>
      <c r="L43" s="1" t="s">
        <v>212</v>
      </c>
      <c r="M43" s="1" t="s">
        <v>211</v>
      </c>
      <c r="N43" s="1" t="s">
        <v>1086</v>
      </c>
      <c r="O43" s="1" t="s">
        <v>1087</v>
      </c>
    </row>
    <row r="44" spans="1:15" ht="15" customHeight="1" x14ac:dyDescent="0.25">
      <c r="A44" s="1" t="s">
        <v>371</v>
      </c>
      <c r="B44" s="1" t="s">
        <v>14</v>
      </c>
      <c r="C44" s="1" t="s">
        <v>282</v>
      </c>
      <c r="D44" s="1">
        <v>2022</v>
      </c>
      <c r="E44" s="1" t="s">
        <v>283</v>
      </c>
      <c r="F44" s="1" t="s">
        <v>284</v>
      </c>
      <c r="G44" s="1">
        <v>16</v>
      </c>
      <c r="I44" s="1">
        <v>200148</v>
      </c>
      <c r="L44" s="1" t="s">
        <v>287</v>
      </c>
      <c r="M44" s="1" t="s">
        <v>286</v>
      </c>
      <c r="N44" s="1" t="s">
        <v>1099</v>
      </c>
      <c r="O44" s="1" t="s">
        <v>1100</v>
      </c>
    </row>
    <row r="45" spans="1:15" ht="15" customHeight="1" x14ac:dyDescent="0.25">
      <c r="A45" s="1" t="s">
        <v>371</v>
      </c>
      <c r="B45" s="1" t="s">
        <v>14</v>
      </c>
      <c r="C45" s="1" t="s">
        <v>318</v>
      </c>
      <c r="D45" s="1">
        <v>2022</v>
      </c>
      <c r="E45" s="1" t="s">
        <v>319</v>
      </c>
      <c r="F45" s="1" t="s">
        <v>209</v>
      </c>
      <c r="G45" s="1">
        <v>200</v>
      </c>
      <c r="I45" s="1" t="s">
        <v>1101</v>
      </c>
      <c r="L45" s="1" t="s">
        <v>1102</v>
      </c>
      <c r="M45" s="1" t="s">
        <v>1103</v>
      </c>
      <c r="N45" s="1" t="s">
        <v>1104</v>
      </c>
      <c r="O45" s="1" t="s">
        <v>1105</v>
      </c>
    </row>
    <row r="46" spans="1:15" ht="15" customHeight="1" x14ac:dyDescent="0.25">
      <c r="A46" s="1" t="s">
        <v>371</v>
      </c>
      <c r="B46" s="1" t="s">
        <v>14</v>
      </c>
      <c r="C46" s="1" t="s">
        <v>336</v>
      </c>
      <c r="D46" s="1">
        <v>2023</v>
      </c>
      <c r="E46" s="1" t="s">
        <v>337</v>
      </c>
      <c r="F46" s="1" t="s">
        <v>338</v>
      </c>
      <c r="L46" s="1" t="s">
        <v>341</v>
      </c>
      <c r="M46" s="1" t="s">
        <v>340</v>
      </c>
      <c r="N46" s="1" t="s">
        <v>1106</v>
      </c>
      <c r="O46" s="1" t="s">
        <v>1107</v>
      </c>
    </row>
    <row r="47" spans="1:15" ht="15" customHeight="1" x14ac:dyDescent="0.25">
      <c r="A47" s="1" t="s">
        <v>371</v>
      </c>
      <c r="B47" s="1" t="s">
        <v>14</v>
      </c>
      <c r="C47" s="1" t="s">
        <v>1108</v>
      </c>
      <c r="D47" s="1">
        <v>2022</v>
      </c>
      <c r="E47" s="1" t="s">
        <v>1109</v>
      </c>
      <c r="F47" s="1" t="s">
        <v>27</v>
      </c>
      <c r="G47" s="1">
        <v>78</v>
      </c>
      <c r="I47" s="1">
        <v>103948</v>
      </c>
      <c r="L47" s="1" t="s">
        <v>1110</v>
      </c>
      <c r="M47" s="1" t="s">
        <v>1111</v>
      </c>
      <c r="N47" s="1" t="s">
        <v>1112</v>
      </c>
      <c r="O47" s="1" t="s">
        <v>1113</v>
      </c>
    </row>
    <row r="48" spans="1:15" ht="15" customHeight="1" x14ac:dyDescent="0.25">
      <c r="A48" s="1" t="s">
        <v>371</v>
      </c>
      <c r="B48" s="1" t="s">
        <v>14</v>
      </c>
      <c r="C48" s="1" t="s">
        <v>1114</v>
      </c>
      <c r="D48" s="1">
        <v>2023</v>
      </c>
      <c r="E48" s="1" t="s">
        <v>1115</v>
      </c>
      <c r="F48" s="1" t="s">
        <v>27</v>
      </c>
      <c r="G48" s="1">
        <v>86</v>
      </c>
      <c r="I48" s="1">
        <v>105158</v>
      </c>
      <c r="L48" s="1" t="s">
        <v>1116</v>
      </c>
      <c r="M48" s="1" t="s">
        <v>1117</v>
      </c>
      <c r="N48" s="1" t="s">
        <v>1118</v>
      </c>
      <c r="O48" s="1" t="s">
        <v>1119</v>
      </c>
    </row>
    <row r="49" spans="1:15" ht="15" customHeight="1" x14ac:dyDescent="0.25">
      <c r="A49" s="1" t="s">
        <v>371</v>
      </c>
      <c r="B49" s="1" t="s">
        <v>14</v>
      </c>
      <c r="C49" s="1" t="s">
        <v>1127</v>
      </c>
      <c r="D49" s="1">
        <v>2023</v>
      </c>
      <c r="E49" s="1" t="s">
        <v>1128</v>
      </c>
      <c r="F49" s="1" t="s">
        <v>376</v>
      </c>
      <c r="G49" s="1">
        <v>126</v>
      </c>
      <c r="I49" s="1">
        <v>107079</v>
      </c>
      <c r="L49" s="1" t="s">
        <v>1129</v>
      </c>
      <c r="M49" s="1" t="s">
        <v>1130</v>
      </c>
      <c r="N49" s="1" t="s">
        <v>1131</v>
      </c>
      <c r="O49" s="1" t="s">
        <v>1132</v>
      </c>
    </row>
    <row r="50" spans="1:15" ht="15" customHeight="1" x14ac:dyDescent="0.25">
      <c r="A50" s="1" t="s">
        <v>425</v>
      </c>
      <c r="B50" s="1" t="s">
        <v>14</v>
      </c>
      <c r="C50" s="1" t="s">
        <v>426</v>
      </c>
      <c r="D50" s="1">
        <v>2023</v>
      </c>
      <c r="E50" s="1" t="s">
        <v>427</v>
      </c>
      <c r="F50" s="1" t="s">
        <v>1138</v>
      </c>
      <c r="G50" s="1">
        <v>35</v>
      </c>
      <c r="H50" s="1">
        <v>30</v>
      </c>
      <c r="I50" s="1" t="s">
        <v>428</v>
      </c>
      <c r="M50" s="1" t="s">
        <v>429</v>
      </c>
      <c r="O50" s="1" t="s">
        <v>430</v>
      </c>
    </row>
    <row r="51" spans="1:15" ht="15" customHeight="1" x14ac:dyDescent="0.25">
      <c r="A51" s="1" t="s">
        <v>425</v>
      </c>
      <c r="B51" s="1" t="s">
        <v>14</v>
      </c>
      <c r="C51" s="1" t="s">
        <v>1139</v>
      </c>
      <c r="D51" s="1">
        <v>2022</v>
      </c>
      <c r="E51" s="1" t="s">
        <v>1140</v>
      </c>
      <c r="F51" s="1" t="s">
        <v>224</v>
      </c>
      <c r="G51" s="1">
        <v>22</v>
      </c>
      <c r="H51" s="1">
        <v>12</v>
      </c>
      <c r="M51" s="1" t="s">
        <v>1141</v>
      </c>
      <c r="O51" s="1" t="s">
        <v>1142</v>
      </c>
    </row>
    <row r="52" spans="1:15" ht="15" customHeight="1" x14ac:dyDescent="0.25">
      <c r="A52" s="1" t="s">
        <v>425</v>
      </c>
      <c r="B52" s="1" t="s">
        <v>14</v>
      </c>
      <c r="C52" s="1" t="s">
        <v>1143</v>
      </c>
      <c r="D52" s="1">
        <v>2023</v>
      </c>
      <c r="E52" s="1" t="s">
        <v>455</v>
      </c>
      <c r="F52" s="1" t="s">
        <v>224</v>
      </c>
      <c r="G52" s="1">
        <v>23</v>
      </c>
      <c r="H52" s="1">
        <v>2</v>
      </c>
      <c r="M52" s="1" t="s">
        <v>458</v>
      </c>
      <c r="O52" s="1" t="s">
        <v>1144</v>
      </c>
    </row>
    <row r="53" spans="1:15" ht="15" customHeight="1" x14ac:dyDescent="0.25">
      <c r="A53" s="1" t="s">
        <v>425</v>
      </c>
      <c r="B53" s="1" t="s">
        <v>14</v>
      </c>
      <c r="C53" s="1" t="s">
        <v>923</v>
      </c>
      <c r="D53" s="1">
        <v>2023</v>
      </c>
      <c r="E53" s="1" t="s">
        <v>924</v>
      </c>
      <c r="F53" s="1" t="s">
        <v>1145</v>
      </c>
      <c r="G53" s="1">
        <v>60</v>
      </c>
      <c r="H53" s="1">
        <v>2</v>
      </c>
      <c r="M53" s="1" t="s">
        <v>1146</v>
      </c>
      <c r="O53" s="1" t="s">
        <v>1147</v>
      </c>
    </row>
    <row r="54" spans="1:15" ht="15" customHeight="1" x14ac:dyDescent="0.25">
      <c r="A54" s="1" t="s">
        <v>425</v>
      </c>
      <c r="B54" s="1" t="s">
        <v>14</v>
      </c>
      <c r="C54" s="1" t="s">
        <v>15</v>
      </c>
      <c r="D54" s="1">
        <v>2023</v>
      </c>
      <c r="E54" s="1" t="s">
        <v>16</v>
      </c>
      <c r="F54" s="1" t="s">
        <v>17</v>
      </c>
      <c r="G54" s="1">
        <v>11</v>
      </c>
      <c r="I54" s="1" t="s">
        <v>382</v>
      </c>
      <c r="M54" s="1" t="s">
        <v>19</v>
      </c>
      <c r="O54" s="1" t="s">
        <v>383</v>
      </c>
    </row>
    <row r="55" spans="1:15" ht="15" customHeight="1" x14ac:dyDescent="0.25">
      <c r="A55" s="1" t="s">
        <v>425</v>
      </c>
      <c r="B55" s="1" t="s">
        <v>14</v>
      </c>
      <c r="C55" s="1" t="s">
        <v>1158</v>
      </c>
      <c r="D55" s="1">
        <v>2023</v>
      </c>
      <c r="E55" s="1" t="s">
        <v>1159</v>
      </c>
      <c r="F55" s="1" t="s">
        <v>1160</v>
      </c>
      <c r="G55" s="1">
        <v>8</v>
      </c>
      <c r="H55" s="1">
        <v>6</v>
      </c>
      <c r="I55" s="1" t="s">
        <v>1161</v>
      </c>
      <c r="M55" s="1" t="s">
        <v>1162</v>
      </c>
      <c r="O55" s="1" t="s">
        <v>1163</v>
      </c>
    </row>
    <row r="56" spans="1:15" ht="15" customHeight="1" x14ac:dyDescent="0.25">
      <c r="A56" s="1" t="s">
        <v>425</v>
      </c>
      <c r="B56" s="1" t="s">
        <v>14</v>
      </c>
      <c r="C56" s="1" t="s">
        <v>1167</v>
      </c>
      <c r="D56" s="1">
        <v>2023</v>
      </c>
      <c r="E56" s="1" t="s">
        <v>1168</v>
      </c>
      <c r="F56" s="1" t="s">
        <v>1169</v>
      </c>
      <c r="M56" s="1" t="s">
        <v>1170</v>
      </c>
      <c r="O56" s="1" t="s">
        <v>1171</v>
      </c>
    </row>
    <row r="57" spans="1:15" ht="15" customHeight="1" x14ac:dyDescent="0.25">
      <c r="A57" s="1" t="s">
        <v>425</v>
      </c>
      <c r="B57" s="1" t="s">
        <v>14</v>
      </c>
      <c r="C57" s="1" t="s">
        <v>1172</v>
      </c>
      <c r="D57" s="1">
        <v>2023</v>
      </c>
      <c r="E57" s="1" t="s">
        <v>1173</v>
      </c>
      <c r="F57" s="1" t="s">
        <v>1174</v>
      </c>
      <c r="G57" s="1">
        <v>9</v>
      </c>
      <c r="H57" s="1">
        <v>2</v>
      </c>
      <c r="M57" s="1" t="s">
        <v>1175</v>
      </c>
      <c r="O57" s="1" t="s">
        <v>1176</v>
      </c>
    </row>
    <row r="58" spans="1:15" ht="15" customHeight="1" x14ac:dyDescent="0.25">
      <c r="A58" s="1" t="s">
        <v>425</v>
      </c>
      <c r="B58" s="1" t="s">
        <v>14</v>
      </c>
      <c r="C58" s="1" t="s">
        <v>42</v>
      </c>
      <c r="D58" s="1">
        <v>2021</v>
      </c>
      <c r="E58" s="1" t="s">
        <v>43</v>
      </c>
      <c r="F58" s="1" t="s">
        <v>44</v>
      </c>
      <c r="M58" s="1" t="s">
        <v>46</v>
      </c>
      <c r="O58" s="1" t="s">
        <v>1180</v>
      </c>
    </row>
    <row r="59" spans="1:15" ht="15" customHeight="1" x14ac:dyDescent="0.25">
      <c r="A59" s="1" t="s">
        <v>425</v>
      </c>
      <c r="B59" s="1" t="s">
        <v>14</v>
      </c>
      <c r="C59" s="1" t="s">
        <v>59</v>
      </c>
      <c r="D59" s="1">
        <v>2021</v>
      </c>
      <c r="E59" s="1" t="s">
        <v>60</v>
      </c>
      <c r="F59" s="1" t="s">
        <v>61</v>
      </c>
      <c r="G59" s="1">
        <v>128</v>
      </c>
      <c r="H59" s="1">
        <v>1</v>
      </c>
      <c r="I59" s="1" t="s">
        <v>953</v>
      </c>
      <c r="M59" s="1" t="s">
        <v>63</v>
      </c>
      <c r="O59" s="1" t="s">
        <v>1198</v>
      </c>
    </row>
    <row r="60" spans="1:15" ht="15" customHeight="1" x14ac:dyDescent="0.25">
      <c r="A60" s="1" t="s">
        <v>425</v>
      </c>
      <c r="B60" s="1" t="s">
        <v>14</v>
      </c>
      <c r="C60" s="1" t="s">
        <v>1199</v>
      </c>
      <c r="D60" s="1">
        <v>2022</v>
      </c>
      <c r="E60" s="1" t="s">
        <v>66</v>
      </c>
      <c r="F60" s="1" t="s">
        <v>1200</v>
      </c>
      <c r="G60" s="1">
        <v>12</v>
      </c>
      <c r="H60" s="1">
        <v>3</v>
      </c>
      <c r="M60" s="1" t="s">
        <v>68</v>
      </c>
      <c r="O60" s="1" t="s">
        <v>1201</v>
      </c>
    </row>
    <row r="61" spans="1:15" ht="15" customHeight="1" x14ac:dyDescent="0.25">
      <c r="A61" s="1" t="s">
        <v>425</v>
      </c>
      <c r="B61" s="1" t="s">
        <v>14</v>
      </c>
      <c r="C61" s="1" t="s">
        <v>1205</v>
      </c>
      <c r="D61" s="1">
        <v>2022</v>
      </c>
      <c r="E61" s="1" t="s">
        <v>1206</v>
      </c>
      <c r="F61" s="1" t="s">
        <v>148</v>
      </c>
      <c r="G61" s="1">
        <v>12</v>
      </c>
      <c r="H61" s="1">
        <v>7</v>
      </c>
      <c r="M61" s="1" t="s">
        <v>1207</v>
      </c>
      <c r="O61" s="1" t="s">
        <v>1208</v>
      </c>
    </row>
    <row r="62" spans="1:15" ht="15" customHeight="1" x14ac:dyDescent="0.25">
      <c r="A62" s="1" t="s">
        <v>425</v>
      </c>
      <c r="B62" s="1" t="s">
        <v>14</v>
      </c>
      <c r="C62" s="1" t="s">
        <v>1209</v>
      </c>
      <c r="D62" s="1">
        <v>2021</v>
      </c>
      <c r="E62" s="1" t="s">
        <v>1210</v>
      </c>
      <c r="F62" s="1" t="s">
        <v>1211</v>
      </c>
      <c r="G62" s="1">
        <v>31</v>
      </c>
      <c r="H62" s="1">
        <v>2</v>
      </c>
      <c r="I62" s="1" t="s">
        <v>1212</v>
      </c>
      <c r="M62" s="1" t="s">
        <v>1213</v>
      </c>
      <c r="O62" s="1" t="s">
        <v>1214</v>
      </c>
    </row>
    <row r="63" spans="1:15" ht="15" customHeight="1" x14ac:dyDescent="0.25">
      <c r="A63" s="1" t="s">
        <v>425</v>
      </c>
      <c r="B63" s="1" t="s">
        <v>14</v>
      </c>
      <c r="C63" s="1" t="s">
        <v>582</v>
      </c>
      <c r="D63" s="1">
        <v>2022</v>
      </c>
      <c r="E63" s="1" t="s">
        <v>586</v>
      </c>
      <c r="F63" s="1" t="s">
        <v>1215</v>
      </c>
      <c r="G63" s="1">
        <v>26</v>
      </c>
      <c r="H63" s="1">
        <v>4</v>
      </c>
      <c r="I63" s="1" t="s">
        <v>583</v>
      </c>
      <c r="M63" s="1" t="s">
        <v>585</v>
      </c>
      <c r="O63" s="1" t="s">
        <v>587</v>
      </c>
    </row>
    <row r="64" spans="1:15" ht="15" customHeight="1" x14ac:dyDescent="0.25">
      <c r="A64" s="1" t="s">
        <v>425</v>
      </c>
      <c r="B64" s="1" t="s">
        <v>14</v>
      </c>
      <c r="C64" s="1" t="s">
        <v>1216</v>
      </c>
      <c r="D64" s="1">
        <v>2024</v>
      </c>
      <c r="E64" s="1" t="s">
        <v>1217</v>
      </c>
      <c r="F64" s="1" t="s">
        <v>1138</v>
      </c>
      <c r="G64" s="1">
        <v>36</v>
      </c>
      <c r="H64" s="1">
        <v>4</v>
      </c>
      <c r="I64" s="1" t="s">
        <v>1218</v>
      </c>
      <c r="M64" s="1" t="s">
        <v>1219</v>
      </c>
      <c r="O64" s="1" t="s">
        <v>1220</v>
      </c>
    </row>
    <row r="65" spans="1:15" ht="15" customHeight="1" x14ac:dyDescent="0.25">
      <c r="A65" s="1" t="s">
        <v>425</v>
      </c>
      <c r="B65" s="1" t="s">
        <v>14</v>
      </c>
      <c r="C65" s="1" t="s">
        <v>977</v>
      </c>
      <c r="D65" s="1">
        <v>2022</v>
      </c>
      <c r="E65" s="1" t="s">
        <v>978</v>
      </c>
      <c r="F65" s="1" t="s">
        <v>1226</v>
      </c>
      <c r="G65" s="1">
        <v>199</v>
      </c>
      <c r="M65" s="1" t="s">
        <v>1227</v>
      </c>
      <c r="O65" s="1" t="s">
        <v>1228</v>
      </c>
    </row>
    <row r="66" spans="1:15" ht="15" customHeight="1" x14ac:dyDescent="0.25">
      <c r="A66" s="1" t="s">
        <v>425</v>
      </c>
      <c r="B66" s="1" t="s">
        <v>14</v>
      </c>
      <c r="C66" s="1" t="s">
        <v>1234</v>
      </c>
      <c r="D66" s="1">
        <v>2021</v>
      </c>
      <c r="E66" s="1" t="s">
        <v>1235</v>
      </c>
      <c r="F66" s="1" t="s">
        <v>1236</v>
      </c>
      <c r="G66" s="1">
        <v>8</v>
      </c>
      <c r="H66" s="1">
        <v>5</v>
      </c>
      <c r="M66" s="1" t="s">
        <v>1237</v>
      </c>
      <c r="O66" s="1" t="s">
        <v>1238</v>
      </c>
    </row>
    <row r="67" spans="1:15" ht="15" customHeight="1" x14ac:dyDescent="0.25">
      <c r="A67" s="1" t="s">
        <v>425</v>
      </c>
      <c r="B67" s="1" t="s">
        <v>14</v>
      </c>
      <c r="C67" s="1" t="s">
        <v>602</v>
      </c>
      <c r="D67" s="1">
        <v>2021</v>
      </c>
      <c r="E67" s="1" t="s">
        <v>607</v>
      </c>
      <c r="F67" s="1" t="s">
        <v>1249</v>
      </c>
      <c r="G67" s="1">
        <v>6</v>
      </c>
      <c r="H67" s="1">
        <v>2</v>
      </c>
      <c r="I67" s="1" t="s">
        <v>604</v>
      </c>
      <c r="M67" s="1" t="s">
        <v>606</v>
      </c>
      <c r="O67" s="1" t="s">
        <v>608</v>
      </c>
    </row>
    <row r="68" spans="1:15" ht="15" customHeight="1" x14ac:dyDescent="0.25">
      <c r="A68" s="1" t="s">
        <v>425</v>
      </c>
      <c r="B68" s="1" t="s">
        <v>14</v>
      </c>
      <c r="C68" s="1" t="s">
        <v>1250</v>
      </c>
      <c r="D68" s="1">
        <v>2020</v>
      </c>
      <c r="E68" s="1" t="s">
        <v>1251</v>
      </c>
      <c r="F68" s="1" t="s">
        <v>1252</v>
      </c>
      <c r="G68" s="1">
        <v>12</v>
      </c>
      <c r="H68" s="1">
        <v>19</v>
      </c>
      <c r="M68" s="1" t="s">
        <v>1253</v>
      </c>
      <c r="O68" s="1" t="s">
        <v>1254</v>
      </c>
    </row>
    <row r="69" spans="1:15" ht="15" customHeight="1" x14ac:dyDescent="0.25">
      <c r="A69" s="1" t="s">
        <v>425</v>
      </c>
      <c r="B69" s="1" t="s">
        <v>14</v>
      </c>
      <c r="C69" s="1" t="s">
        <v>1255</v>
      </c>
      <c r="D69" s="1">
        <v>2023</v>
      </c>
      <c r="E69" s="1" t="s">
        <v>1256</v>
      </c>
      <c r="F69" s="1" t="s">
        <v>1257</v>
      </c>
      <c r="G69" s="1">
        <v>12</v>
      </c>
      <c r="H69" s="1">
        <v>13</v>
      </c>
      <c r="M69" s="1" t="s">
        <v>1258</v>
      </c>
      <c r="O69" s="1" t="s">
        <v>1259</v>
      </c>
    </row>
    <row r="70" spans="1:15" ht="15" customHeight="1" x14ac:dyDescent="0.25">
      <c r="A70" s="1" t="s">
        <v>425</v>
      </c>
      <c r="B70" s="1" t="s">
        <v>14</v>
      </c>
      <c r="C70" s="1" t="s">
        <v>1260</v>
      </c>
      <c r="D70" s="1">
        <v>2022</v>
      </c>
      <c r="E70" s="1" t="s">
        <v>991</v>
      </c>
      <c r="F70" s="1" t="s">
        <v>1261</v>
      </c>
      <c r="G70" s="1">
        <v>182</v>
      </c>
      <c r="M70" s="1" t="s">
        <v>1262</v>
      </c>
      <c r="O70" s="1" t="s">
        <v>1263</v>
      </c>
    </row>
    <row r="71" spans="1:15" ht="15" customHeight="1" x14ac:dyDescent="0.25">
      <c r="A71" s="1" t="s">
        <v>425</v>
      </c>
      <c r="B71" s="1" t="s">
        <v>14</v>
      </c>
      <c r="C71" s="1" t="s">
        <v>1264</v>
      </c>
      <c r="D71" s="1">
        <v>2021</v>
      </c>
      <c r="E71" s="1" t="s">
        <v>1265</v>
      </c>
      <c r="F71" s="1" t="s">
        <v>1266</v>
      </c>
      <c r="G71" s="1">
        <v>109</v>
      </c>
      <c r="H71" s="1">
        <v>1</v>
      </c>
      <c r="I71" s="1" t="s">
        <v>1267</v>
      </c>
      <c r="M71" s="1" t="s">
        <v>1268</v>
      </c>
      <c r="O71" s="1" t="s">
        <v>1269</v>
      </c>
    </row>
    <row r="72" spans="1:15" ht="15" customHeight="1" x14ac:dyDescent="0.25">
      <c r="A72" s="1" t="s">
        <v>425</v>
      </c>
      <c r="B72" s="1" t="s">
        <v>14</v>
      </c>
      <c r="C72" s="1" t="s">
        <v>1278</v>
      </c>
      <c r="D72" s="1">
        <v>2022</v>
      </c>
      <c r="E72" s="1" t="s">
        <v>1279</v>
      </c>
      <c r="F72" s="1" t="s">
        <v>1280</v>
      </c>
      <c r="G72" s="1">
        <v>17</v>
      </c>
      <c r="H72" s="1">
        <v>7</v>
      </c>
      <c r="I72" s="1" t="s">
        <v>1281</v>
      </c>
      <c r="M72" s="1" t="s">
        <v>1282</v>
      </c>
      <c r="O72" s="1" t="s">
        <v>1283</v>
      </c>
    </row>
    <row r="73" spans="1:15" ht="15" customHeight="1" x14ac:dyDescent="0.25">
      <c r="A73" s="1" t="s">
        <v>425</v>
      </c>
      <c r="B73" s="1" t="s">
        <v>14</v>
      </c>
      <c r="C73" s="1" t="s">
        <v>98</v>
      </c>
      <c r="D73" s="1">
        <v>2024</v>
      </c>
      <c r="E73" s="1" t="s">
        <v>99</v>
      </c>
      <c r="F73" s="1" t="s">
        <v>100</v>
      </c>
      <c r="G73" s="1">
        <v>170</v>
      </c>
      <c r="M73" s="1" t="s">
        <v>102</v>
      </c>
      <c r="O73" s="1" t="s">
        <v>1295</v>
      </c>
    </row>
    <row r="74" spans="1:15" ht="15" customHeight="1" x14ac:dyDescent="0.25">
      <c r="A74" s="1" t="s">
        <v>425</v>
      </c>
      <c r="B74" s="1" t="s">
        <v>14</v>
      </c>
      <c r="C74" s="1" t="s">
        <v>122</v>
      </c>
      <c r="D74" s="1">
        <v>2021</v>
      </c>
      <c r="E74" s="1" t="s">
        <v>123</v>
      </c>
      <c r="F74" s="1" t="s">
        <v>17</v>
      </c>
      <c r="G74" s="1">
        <v>9</v>
      </c>
      <c r="I74" s="1" t="s">
        <v>392</v>
      </c>
      <c r="M74" s="1" t="s">
        <v>125</v>
      </c>
      <c r="O74" s="1" t="s">
        <v>1307</v>
      </c>
    </row>
    <row r="75" spans="1:15" ht="15" customHeight="1" x14ac:dyDescent="0.25">
      <c r="A75" s="1" t="s">
        <v>425</v>
      </c>
      <c r="B75" s="1" t="s">
        <v>14</v>
      </c>
      <c r="C75" s="1" t="s">
        <v>135</v>
      </c>
      <c r="D75" s="1">
        <v>2023</v>
      </c>
      <c r="E75" s="1" t="s">
        <v>136</v>
      </c>
      <c r="F75" s="1" t="s">
        <v>137</v>
      </c>
      <c r="M75" s="1" t="s">
        <v>138</v>
      </c>
      <c r="O75" s="1" t="s">
        <v>1313</v>
      </c>
    </row>
    <row r="76" spans="1:15" ht="15" customHeight="1" x14ac:dyDescent="0.25">
      <c r="A76" s="1" t="s">
        <v>425</v>
      </c>
      <c r="B76" s="1" t="s">
        <v>14</v>
      </c>
      <c r="C76" s="1" t="s">
        <v>1318</v>
      </c>
      <c r="D76" s="1">
        <v>2022</v>
      </c>
      <c r="E76" s="1" t="s">
        <v>1064</v>
      </c>
      <c r="F76" s="1" t="s">
        <v>1319</v>
      </c>
      <c r="G76" s="1">
        <v>89</v>
      </c>
      <c r="I76" s="1" t="s">
        <v>1066</v>
      </c>
      <c r="M76" s="1" t="s">
        <v>1320</v>
      </c>
      <c r="O76" s="1" t="s">
        <v>1321</v>
      </c>
    </row>
    <row r="77" spans="1:15" ht="15" customHeight="1" x14ac:dyDescent="0.25">
      <c r="A77" s="1" t="s">
        <v>425</v>
      </c>
      <c r="B77" s="1" t="s">
        <v>14</v>
      </c>
      <c r="C77" s="1" t="s">
        <v>146</v>
      </c>
      <c r="D77" s="1">
        <v>2022</v>
      </c>
      <c r="E77" s="1" t="s">
        <v>147</v>
      </c>
      <c r="F77" s="1" t="s">
        <v>148</v>
      </c>
      <c r="G77" s="1">
        <v>12</v>
      </c>
      <c r="H77" s="1">
        <v>1</v>
      </c>
      <c r="M77" s="1" t="s">
        <v>150</v>
      </c>
      <c r="O77" s="1" t="s">
        <v>1322</v>
      </c>
    </row>
    <row r="78" spans="1:15" ht="15" customHeight="1" x14ac:dyDescent="0.25">
      <c r="A78" s="1" t="s">
        <v>425</v>
      </c>
      <c r="B78" s="1" t="s">
        <v>14</v>
      </c>
      <c r="C78" s="1" t="s">
        <v>1323</v>
      </c>
      <c r="D78" s="1">
        <v>2022</v>
      </c>
      <c r="E78" s="1" t="s">
        <v>1324</v>
      </c>
      <c r="F78" s="1" t="s">
        <v>1325</v>
      </c>
      <c r="G78" s="1">
        <v>16</v>
      </c>
      <c r="H78" s="1">
        <v>1</v>
      </c>
      <c r="M78" s="1" t="s">
        <v>1326</v>
      </c>
      <c r="O78" s="1" t="s">
        <v>1327</v>
      </c>
    </row>
    <row r="79" spans="1:15" ht="15" customHeight="1" x14ac:dyDescent="0.25">
      <c r="A79" s="1" t="s">
        <v>425</v>
      </c>
      <c r="B79" s="1" t="s">
        <v>14</v>
      </c>
      <c r="C79" s="1" t="s">
        <v>1016</v>
      </c>
      <c r="D79" s="1">
        <v>2023</v>
      </c>
      <c r="E79" s="1" t="s">
        <v>1017</v>
      </c>
      <c r="F79" s="1" t="s">
        <v>1334</v>
      </c>
      <c r="G79" s="1">
        <v>240</v>
      </c>
      <c r="M79" s="1" t="s">
        <v>1335</v>
      </c>
      <c r="O79" s="1" t="s">
        <v>1336</v>
      </c>
    </row>
    <row r="80" spans="1:15" ht="15" customHeight="1" x14ac:dyDescent="0.25">
      <c r="A80" s="1" t="s">
        <v>425</v>
      </c>
      <c r="B80" s="1" t="s">
        <v>14</v>
      </c>
      <c r="C80" s="1" t="s">
        <v>645</v>
      </c>
      <c r="D80" s="1">
        <v>2023</v>
      </c>
      <c r="E80" s="1" t="s">
        <v>649</v>
      </c>
      <c r="F80" s="1" t="s">
        <v>1353</v>
      </c>
      <c r="G80" s="1">
        <v>11</v>
      </c>
      <c r="I80" s="1" t="s">
        <v>646</v>
      </c>
      <c r="M80" s="1" t="s">
        <v>648</v>
      </c>
      <c r="O80" s="1" t="s">
        <v>650</v>
      </c>
    </row>
    <row r="81" spans="1:15" ht="15" customHeight="1" x14ac:dyDescent="0.25">
      <c r="A81" s="1" t="s">
        <v>425</v>
      </c>
      <c r="B81" s="1" t="s">
        <v>14</v>
      </c>
      <c r="C81" s="1" t="s">
        <v>156</v>
      </c>
      <c r="D81" s="1">
        <v>2022</v>
      </c>
      <c r="E81" s="1" t="s">
        <v>157</v>
      </c>
      <c r="F81" s="1" t="s">
        <v>1359</v>
      </c>
      <c r="G81" s="1">
        <v>39</v>
      </c>
      <c r="H81" s="1">
        <v>7</v>
      </c>
      <c r="M81" s="1" t="s">
        <v>159</v>
      </c>
      <c r="O81" s="1" t="s">
        <v>1360</v>
      </c>
    </row>
    <row r="82" spans="1:15" ht="15" customHeight="1" x14ac:dyDescent="0.25">
      <c r="A82" s="1" t="s">
        <v>425</v>
      </c>
      <c r="B82" s="1" t="s">
        <v>14</v>
      </c>
      <c r="C82" s="1" t="s">
        <v>1361</v>
      </c>
      <c r="D82" s="1">
        <v>2023</v>
      </c>
      <c r="E82" s="1" t="s">
        <v>1362</v>
      </c>
      <c r="F82" s="1" t="s">
        <v>137</v>
      </c>
      <c r="M82" s="1" t="s">
        <v>1363</v>
      </c>
      <c r="O82" s="1" t="s">
        <v>1364</v>
      </c>
    </row>
    <row r="83" spans="1:15" ht="15" customHeight="1" x14ac:dyDescent="0.25">
      <c r="A83" s="1" t="s">
        <v>425</v>
      </c>
      <c r="B83" s="1" t="s">
        <v>14</v>
      </c>
      <c r="C83" s="1" t="s">
        <v>1365</v>
      </c>
      <c r="D83" s="1">
        <v>2021</v>
      </c>
      <c r="E83" s="1" t="s">
        <v>1030</v>
      </c>
      <c r="F83" s="1" t="s">
        <v>1366</v>
      </c>
      <c r="G83" s="1">
        <v>152</v>
      </c>
      <c r="I83" s="24">
        <v>45474</v>
      </c>
      <c r="M83" s="1" t="s">
        <v>1367</v>
      </c>
      <c r="O83" s="1" t="s">
        <v>1368</v>
      </c>
    </row>
    <row r="84" spans="1:15" ht="15" customHeight="1" x14ac:dyDescent="0.25">
      <c r="A84" s="1" t="s">
        <v>425</v>
      </c>
      <c r="B84" s="1" t="s">
        <v>14</v>
      </c>
      <c r="C84" s="1" t="s">
        <v>167</v>
      </c>
      <c r="D84" s="1">
        <v>2022</v>
      </c>
      <c r="E84" s="1" t="s">
        <v>168</v>
      </c>
      <c r="F84" s="1" t="s">
        <v>17</v>
      </c>
      <c r="G84" s="1">
        <v>10</v>
      </c>
      <c r="I84" s="1" t="s">
        <v>1369</v>
      </c>
      <c r="M84" s="1" t="s">
        <v>170</v>
      </c>
      <c r="O84" s="1" t="s">
        <v>1370</v>
      </c>
    </row>
    <row r="85" spans="1:15" ht="15" customHeight="1" x14ac:dyDescent="0.25">
      <c r="A85" s="1" t="s">
        <v>425</v>
      </c>
      <c r="B85" s="1" t="s">
        <v>14</v>
      </c>
      <c r="C85" s="1" t="s">
        <v>1373</v>
      </c>
      <c r="D85" s="1">
        <v>2022</v>
      </c>
      <c r="E85" s="1" t="s">
        <v>1374</v>
      </c>
      <c r="F85" s="1" t="s">
        <v>1375</v>
      </c>
      <c r="G85" s="1">
        <v>188</v>
      </c>
      <c r="M85" s="1" t="s">
        <v>1376</v>
      </c>
      <c r="O85" s="1" t="s">
        <v>1377</v>
      </c>
    </row>
    <row r="86" spans="1:15" ht="15" customHeight="1" x14ac:dyDescent="0.25">
      <c r="A86" s="1" t="s">
        <v>425</v>
      </c>
      <c r="B86" s="1" t="s">
        <v>14</v>
      </c>
      <c r="C86" s="1" t="s">
        <v>1057</v>
      </c>
      <c r="D86" s="1">
        <v>2022</v>
      </c>
      <c r="E86" s="1" t="s">
        <v>1387</v>
      </c>
      <c r="F86" s="1" t="s">
        <v>1334</v>
      </c>
      <c r="G86" s="1">
        <v>226</v>
      </c>
      <c r="M86" s="1" t="s">
        <v>1388</v>
      </c>
      <c r="O86" s="1" t="s">
        <v>1389</v>
      </c>
    </row>
    <row r="87" spans="1:15" ht="15" customHeight="1" x14ac:dyDescent="0.25">
      <c r="A87" s="1" t="s">
        <v>425</v>
      </c>
      <c r="B87" s="1" t="s">
        <v>14</v>
      </c>
      <c r="C87" s="1" t="s">
        <v>1390</v>
      </c>
      <c r="D87" s="1">
        <v>2024</v>
      </c>
      <c r="E87" s="1" t="s">
        <v>1391</v>
      </c>
      <c r="F87" s="1" t="s">
        <v>1392</v>
      </c>
      <c r="G87" s="1">
        <v>181</v>
      </c>
      <c r="M87" s="1" t="s">
        <v>1393</v>
      </c>
      <c r="O87" s="1" t="s">
        <v>1394</v>
      </c>
    </row>
    <row r="88" spans="1:15" ht="15" customHeight="1" x14ac:dyDescent="0.25">
      <c r="A88" s="1" t="s">
        <v>425</v>
      </c>
      <c r="B88" s="1" t="s">
        <v>14</v>
      </c>
      <c r="C88" s="1" t="s">
        <v>692</v>
      </c>
      <c r="D88" s="1">
        <v>2022</v>
      </c>
      <c r="E88" s="1" t="s">
        <v>696</v>
      </c>
      <c r="F88" s="1" t="s">
        <v>1398</v>
      </c>
      <c r="G88" s="1">
        <v>41</v>
      </c>
      <c r="H88" s="1">
        <v>9</v>
      </c>
      <c r="I88" s="1" t="s">
        <v>693</v>
      </c>
      <c r="M88" s="1" t="s">
        <v>695</v>
      </c>
      <c r="O88" s="1" t="s">
        <v>697</v>
      </c>
    </row>
    <row r="89" spans="1:15" ht="15" customHeight="1" x14ac:dyDescent="0.25">
      <c r="A89" s="1" t="s">
        <v>425</v>
      </c>
      <c r="B89" s="1" t="s">
        <v>14</v>
      </c>
      <c r="C89" s="1" t="s">
        <v>1399</v>
      </c>
      <c r="D89" s="1">
        <v>2023</v>
      </c>
      <c r="E89" s="1" t="s">
        <v>1400</v>
      </c>
      <c r="F89" s="1" t="s">
        <v>1350</v>
      </c>
      <c r="G89" s="1">
        <v>13</v>
      </c>
      <c r="H89" s="1">
        <v>1</v>
      </c>
      <c r="M89" s="1" t="s">
        <v>1401</v>
      </c>
      <c r="O89" s="1" t="s">
        <v>1402</v>
      </c>
    </row>
    <row r="90" spans="1:15" ht="15" customHeight="1" x14ac:dyDescent="0.25">
      <c r="A90" s="1" t="s">
        <v>425</v>
      </c>
      <c r="B90" s="1" t="s">
        <v>14</v>
      </c>
      <c r="C90" s="1" t="s">
        <v>1412</v>
      </c>
      <c r="D90" s="1">
        <v>2022</v>
      </c>
      <c r="E90" s="1" t="s">
        <v>1413</v>
      </c>
      <c r="F90" s="1" t="s">
        <v>224</v>
      </c>
      <c r="G90" s="1">
        <v>22</v>
      </c>
      <c r="H90" s="1">
        <v>23</v>
      </c>
      <c r="M90" s="1" t="s">
        <v>1414</v>
      </c>
      <c r="O90" s="1" t="s">
        <v>1415</v>
      </c>
    </row>
    <row r="91" spans="1:15" ht="15" customHeight="1" x14ac:dyDescent="0.25">
      <c r="A91" s="1" t="s">
        <v>425</v>
      </c>
      <c r="B91" s="1" t="s">
        <v>14</v>
      </c>
      <c r="C91" s="1" t="s">
        <v>436</v>
      </c>
      <c r="D91" s="1">
        <v>2023</v>
      </c>
      <c r="E91" s="1" t="s">
        <v>1442</v>
      </c>
      <c r="F91" s="1" t="s">
        <v>1236</v>
      </c>
      <c r="G91" s="1">
        <v>10</v>
      </c>
      <c r="H91" s="1">
        <v>5</v>
      </c>
      <c r="M91" s="1" t="s">
        <v>1443</v>
      </c>
      <c r="O91" s="1" t="s">
        <v>1444</v>
      </c>
    </row>
    <row r="92" spans="1:15" ht="15" customHeight="1" x14ac:dyDescent="0.25">
      <c r="A92" s="1" t="s">
        <v>425</v>
      </c>
      <c r="B92" s="1" t="s">
        <v>14</v>
      </c>
      <c r="C92" s="1" t="s">
        <v>741</v>
      </c>
      <c r="D92" s="1">
        <v>2021</v>
      </c>
      <c r="E92" s="1" t="s">
        <v>746</v>
      </c>
      <c r="F92" s="1" t="s">
        <v>1449</v>
      </c>
      <c r="G92" s="1">
        <v>34</v>
      </c>
      <c r="H92" s="1">
        <v>2</v>
      </c>
      <c r="I92" s="1" t="s">
        <v>743</v>
      </c>
      <c r="M92" s="1" t="s">
        <v>745</v>
      </c>
      <c r="O92" s="1" t="s">
        <v>1450</v>
      </c>
    </row>
    <row r="93" spans="1:15" ht="15" customHeight="1" x14ac:dyDescent="0.25">
      <c r="A93" s="1" t="s">
        <v>425</v>
      </c>
      <c r="B93" s="1" t="s">
        <v>14</v>
      </c>
      <c r="C93" s="1" t="s">
        <v>1451</v>
      </c>
      <c r="D93" s="1">
        <v>2022</v>
      </c>
      <c r="E93" s="1" t="s">
        <v>1452</v>
      </c>
      <c r="F93" s="1" t="s">
        <v>218</v>
      </c>
      <c r="G93" s="1">
        <v>39</v>
      </c>
      <c r="H93" s="1">
        <v>5</v>
      </c>
      <c r="I93" s="1" t="s">
        <v>1453</v>
      </c>
      <c r="M93" s="1" t="s">
        <v>1454</v>
      </c>
      <c r="O93" s="1" t="s">
        <v>1455</v>
      </c>
    </row>
    <row r="94" spans="1:15" ht="15" customHeight="1" x14ac:dyDescent="0.25">
      <c r="A94" s="1" t="s">
        <v>425</v>
      </c>
      <c r="B94" s="1" t="s">
        <v>14</v>
      </c>
      <c r="C94" s="1" t="s">
        <v>1456</v>
      </c>
      <c r="D94" s="1">
        <v>2023</v>
      </c>
      <c r="E94" s="1" t="s">
        <v>1457</v>
      </c>
      <c r="F94" s="1" t="s">
        <v>1458</v>
      </c>
      <c r="G94" s="1">
        <v>221</v>
      </c>
      <c r="H94" s="1">
        <v>3</v>
      </c>
      <c r="I94" s="1" t="s">
        <v>1459</v>
      </c>
      <c r="M94" s="1" t="s">
        <v>1460</v>
      </c>
    </row>
    <row r="95" spans="1:15" ht="15" customHeight="1" x14ac:dyDescent="0.25">
      <c r="A95" s="1" t="s">
        <v>425</v>
      </c>
      <c r="B95" s="1" t="s">
        <v>14</v>
      </c>
      <c r="C95" s="1" t="s">
        <v>200</v>
      </c>
      <c r="D95" s="1">
        <v>2022</v>
      </c>
      <c r="E95" s="1" t="s">
        <v>201</v>
      </c>
      <c r="F95" s="1" t="s">
        <v>202</v>
      </c>
      <c r="G95" s="1" t="s">
        <v>1466</v>
      </c>
      <c r="H95" s="1">
        <v>8</v>
      </c>
      <c r="I95" s="1" t="s">
        <v>1467</v>
      </c>
      <c r="M95" s="1" t="s">
        <v>204</v>
      </c>
      <c r="O95" s="1" t="s">
        <v>1468</v>
      </c>
    </row>
    <row r="96" spans="1:15" ht="15" customHeight="1" x14ac:dyDescent="0.25">
      <c r="A96" s="1" t="s">
        <v>425</v>
      </c>
      <c r="B96" s="1" t="s">
        <v>14</v>
      </c>
      <c r="C96" s="1" t="s">
        <v>1475</v>
      </c>
      <c r="D96" s="1">
        <v>2023</v>
      </c>
      <c r="E96" s="1" t="s">
        <v>1476</v>
      </c>
      <c r="F96" s="1" t="s">
        <v>224</v>
      </c>
      <c r="G96" s="1">
        <v>23</v>
      </c>
      <c r="H96" s="1">
        <v>8</v>
      </c>
      <c r="M96" s="1" t="s">
        <v>1477</v>
      </c>
      <c r="O96" s="1" t="s">
        <v>1478</v>
      </c>
    </row>
    <row r="97" spans="1:15" ht="15" customHeight="1" x14ac:dyDescent="0.25">
      <c r="A97" s="1" t="s">
        <v>425</v>
      </c>
      <c r="B97" s="1" t="s">
        <v>14</v>
      </c>
      <c r="C97" s="1" t="s">
        <v>1484</v>
      </c>
      <c r="D97" s="1">
        <v>2022</v>
      </c>
      <c r="E97" s="1" t="s">
        <v>1485</v>
      </c>
      <c r="F97" s="1" t="s">
        <v>1486</v>
      </c>
      <c r="G97" s="1">
        <v>30</v>
      </c>
      <c r="H97" s="1">
        <v>4</v>
      </c>
      <c r="I97" s="1" t="s">
        <v>1487</v>
      </c>
      <c r="M97" s="1" t="s">
        <v>1488</v>
      </c>
      <c r="O97" s="1" t="s">
        <v>1489</v>
      </c>
    </row>
    <row r="98" spans="1:15" ht="15" customHeight="1" x14ac:dyDescent="0.25">
      <c r="A98" s="1" t="s">
        <v>425</v>
      </c>
      <c r="B98" s="1" t="s">
        <v>14</v>
      </c>
      <c r="C98" s="1" t="s">
        <v>216</v>
      </c>
      <c r="D98" s="1">
        <v>2022</v>
      </c>
      <c r="E98" s="1" t="s">
        <v>217</v>
      </c>
      <c r="F98" s="1" t="s">
        <v>218</v>
      </c>
      <c r="G98" s="1">
        <v>39</v>
      </c>
      <c r="H98" s="1">
        <v>5</v>
      </c>
      <c r="I98" s="1" t="s">
        <v>1490</v>
      </c>
      <c r="M98" s="1" t="s">
        <v>220</v>
      </c>
      <c r="O98" s="1" t="s">
        <v>1491</v>
      </c>
    </row>
    <row r="99" spans="1:15" ht="15" customHeight="1" x14ac:dyDescent="0.25">
      <c r="A99" s="1" t="s">
        <v>425</v>
      </c>
      <c r="B99" s="1" t="s">
        <v>14</v>
      </c>
      <c r="C99" s="1" t="s">
        <v>1496</v>
      </c>
      <c r="D99" s="1">
        <v>2023</v>
      </c>
      <c r="E99" s="1" t="s">
        <v>1497</v>
      </c>
      <c r="F99" s="1" t="s">
        <v>1498</v>
      </c>
      <c r="G99" s="1">
        <v>7</v>
      </c>
      <c r="H99" s="1">
        <v>2</v>
      </c>
      <c r="M99" s="1" t="s">
        <v>1499</v>
      </c>
      <c r="O99" s="1" t="s">
        <v>1500</v>
      </c>
    </row>
    <row r="100" spans="1:15" ht="15" customHeight="1" x14ac:dyDescent="0.25">
      <c r="A100" s="1" t="s">
        <v>425</v>
      </c>
      <c r="B100" s="1" t="s">
        <v>14</v>
      </c>
      <c r="C100" s="1" t="s">
        <v>222</v>
      </c>
      <c r="D100" s="1">
        <v>2021</v>
      </c>
      <c r="E100" s="1" t="s">
        <v>223</v>
      </c>
      <c r="F100" s="1" t="s">
        <v>224</v>
      </c>
      <c r="G100" s="1">
        <v>21</v>
      </c>
      <c r="H100" s="1">
        <v>16</v>
      </c>
      <c r="M100" s="1" t="s">
        <v>226</v>
      </c>
      <c r="O100" s="1" t="s">
        <v>1501</v>
      </c>
    </row>
    <row r="101" spans="1:15" ht="15" customHeight="1" x14ac:dyDescent="0.25">
      <c r="A101" s="1" t="s">
        <v>425</v>
      </c>
      <c r="B101" s="1" t="s">
        <v>14</v>
      </c>
      <c r="C101" s="1" t="s">
        <v>1502</v>
      </c>
      <c r="D101" s="1">
        <v>2022</v>
      </c>
      <c r="E101" s="1" t="s">
        <v>1503</v>
      </c>
      <c r="F101" s="1" t="s">
        <v>1504</v>
      </c>
      <c r="G101" s="1">
        <v>23</v>
      </c>
      <c r="H101" s="1">
        <v>4</v>
      </c>
      <c r="I101" s="1" t="s">
        <v>1505</v>
      </c>
      <c r="M101" s="1" t="s">
        <v>1506</v>
      </c>
      <c r="O101" s="1" t="s">
        <v>1507</v>
      </c>
    </row>
    <row r="102" spans="1:15" ht="15" customHeight="1" x14ac:dyDescent="0.25">
      <c r="A102" s="1" t="s">
        <v>425</v>
      </c>
      <c r="B102" s="1" t="s">
        <v>14</v>
      </c>
      <c r="C102" s="1" t="s">
        <v>251</v>
      </c>
      <c r="D102" s="1">
        <v>2022</v>
      </c>
      <c r="E102" s="1" t="s">
        <v>252</v>
      </c>
      <c r="F102" s="1" t="s">
        <v>253</v>
      </c>
      <c r="G102" s="1">
        <v>54</v>
      </c>
      <c r="H102" s="1">
        <v>5</v>
      </c>
      <c r="I102" s="1" t="s">
        <v>1511</v>
      </c>
      <c r="M102" s="1" t="s">
        <v>254</v>
      </c>
      <c r="O102" s="1" t="s">
        <v>1512</v>
      </c>
    </row>
    <row r="103" spans="1:15" ht="15" customHeight="1" x14ac:dyDescent="0.25">
      <c r="A103" s="1" t="s">
        <v>425</v>
      </c>
      <c r="B103" s="1" t="s">
        <v>14</v>
      </c>
      <c r="C103" s="1" t="s">
        <v>266</v>
      </c>
      <c r="D103" s="1">
        <v>2023</v>
      </c>
      <c r="E103" s="1" t="s">
        <v>267</v>
      </c>
      <c r="F103" s="1" t="s">
        <v>268</v>
      </c>
      <c r="G103" s="1">
        <v>132</v>
      </c>
      <c r="M103" s="1" t="s">
        <v>270</v>
      </c>
      <c r="O103" s="1" t="s">
        <v>1531</v>
      </c>
    </row>
    <row r="104" spans="1:15" ht="15" customHeight="1" x14ac:dyDescent="0.25">
      <c r="A104" s="1" t="s">
        <v>425</v>
      </c>
      <c r="B104" s="1" t="s">
        <v>14</v>
      </c>
      <c r="C104" s="1" t="s">
        <v>1536</v>
      </c>
      <c r="D104" s="1">
        <v>2023</v>
      </c>
      <c r="E104" s="1" t="s">
        <v>1537</v>
      </c>
      <c r="F104" s="1" t="s">
        <v>1538</v>
      </c>
      <c r="G104" s="1">
        <v>22</v>
      </c>
      <c r="H104" s="1">
        <v>1</v>
      </c>
      <c r="M104" s="1" t="s">
        <v>1539</v>
      </c>
      <c r="O104" s="1" t="s">
        <v>1540</v>
      </c>
    </row>
    <row r="105" spans="1:15" ht="15" customHeight="1" x14ac:dyDescent="0.25">
      <c r="A105" s="1" t="s">
        <v>425</v>
      </c>
      <c r="B105" s="1" t="s">
        <v>14</v>
      </c>
      <c r="C105" s="1" t="s">
        <v>274</v>
      </c>
      <c r="D105" s="1">
        <v>2023</v>
      </c>
      <c r="E105" s="1" t="s">
        <v>275</v>
      </c>
      <c r="F105" s="1" t="s">
        <v>276</v>
      </c>
      <c r="G105" s="1">
        <v>48</v>
      </c>
      <c r="H105" s="1">
        <v>3</v>
      </c>
      <c r="M105" s="1" t="s">
        <v>277</v>
      </c>
      <c r="O105" s="1" t="s">
        <v>1541</v>
      </c>
    </row>
    <row r="106" spans="1:15" ht="15" customHeight="1" x14ac:dyDescent="0.25">
      <c r="A106" s="1" t="s">
        <v>425</v>
      </c>
      <c r="B106" s="1" t="s">
        <v>14</v>
      </c>
      <c r="C106" s="1" t="s">
        <v>278</v>
      </c>
      <c r="D106" s="1">
        <v>2023</v>
      </c>
      <c r="E106" s="1" t="s">
        <v>279</v>
      </c>
      <c r="F106" s="1" t="s">
        <v>280</v>
      </c>
      <c r="G106" s="1">
        <v>53</v>
      </c>
      <c r="H106" s="1">
        <v>19</v>
      </c>
      <c r="I106" s="1" t="s">
        <v>1547</v>
      </c>
      <c r="M106" s="1" t="s">
        <v>281</v>
      </c>
      <c r="O106" s="1" t="s">
        <v>1548</v>
      </c>
    </row>
    <row r="107" spans="1:15" ht="15" customHeight="1" x14ac:dyDescent="0.25">
      <c r="A107" s="1" t="s">
        <v>425</v>
      </c>
      <c r="B107" s="1" t="s">
        <v>1148</v>
      </c>
      <c r="C107" s="1" t="s">
        <v>1570</v>
      </c>
      <c r="D107" s="1">
        <v>2023</v>
      </c>
      <c r="E107" s="1" t="s">
        <v>794</v>
      </c>
      <c r="F107" s="1" t="s">
        <v>1571</v>
      </c>
      <c r="M107" s="1" t="s">
        <v>793</v>
      </c>
      <c r="O107" s="1" t="s">
        <v>1572</v>
      </c>
    </row>
    <row r="108" spans="1:15" ht="15" customHeight="1" x14ac:dyDescent="0.25">
      <c r="A108" s="1" t="s">
        <v>425</v>
      </c>
      <c r="B108" s="1" t="s">
        <v>14</v>
      </c>
      <c r="C108" s="1" t="s">
        <v>305</v>
      </c>
      <c r="D108" s="1">
        <v>2023</v>
      </c>
      <c r="E108" s="1" t="s">
        <v>306</v>
      </c>
      <c r="F108" s="1" t="s">
        <v>1581</v>
      </c>
      <c r="M108" s="1" t="s">
        <v>308</v>
      </c>
      <c r="O108" s="1" t="s">
        <v>1582</v>
      </c>
    </row>
    <row r="109" spans="1:15" ht="15" customHeight="1" x14ac:dyDescent="0.25">
      <c r="A109" s="1" t="s">
        <v>425</v>
      </c>
      <c r="B109" s="1" t="s">
        <v>14</v>
      </c>
      <c r="C109" s="1" t="s">
        <v>323</v>
      </c>
      <c r="D109" s="1">
        <v>2020</v>
      </c>
      <c r="E109" s="1" t="s">
        <v>324</v>
      </c>
      <c r="F109" s="1" t="s">
        <v>325</v>
      </c>
      <c r="G109" s="1">
        <v>128</v>
      </c>
      <c r="H109" s="1">
        <v>2</v>
      </c>
      <c r="I109" s="1" t="s">
        <v>1588</v>
      </c>
      <c r="M109" s="1" t="s">
        <v>327</v>
      </c>
      <c r="O109" s="1" t="s">
        <v>1589</v>
      </c>
    </row>
    <row r="110" spans="1:15" ht="15" customHeight="1" x14ac:dyDescent="0.25">
      <c r="A110" s="1" t="s">
        <v>425</v>
      </c>
      <c r="B110" s="1" t="s">
        <v>14</v>
      </c>
      <c r="C110" s="1" t="s">
        <v>1600</v>
      </c>
      <c r="D110" s="1">
        <v>2023</v>
      </c>
      <c r="E110" s="1" t="s">
        <v>1601</v>
      </c>
      <c r="F110" s="1" t="s">
        <v>1236</v>
      </c>
      <c r="G110" s="1">
        <v>10</v>
      </c>
      <c r="H110" s="1">
        <v>5</v>
      </c>
      <c r="M110" s="1" t="s">
        <v>1602</v>
      </c>
      <c r="O110" s="1" t="s">
        <v>1603</v>
      </c>
    </row>
    <row r="111" spans="1:15" ht="15" customHeight="1" x14ac:dyDescent="0.25">
      <c r="A111" s="1" t="s">
        <v>425</v>
      </c>
      <c r="B111" s="1" t="s">
        <v>14</v>
      </c>
      <c r="C111" s="1" t="s">
        <v>418</v>
      </c>
      <c r="D111" s="1">
        <v>2022</v>
      </c>
      <c r="E111" s="1" t="s">
        <v>419</v>
      </c>
      <c r="F111" s="1" t="s">
        <v>1604</v>
      </c>
      <c r="G111" s="1">
        <v>71</v>
      </c>
      <c r="M111" s="1" t="s">
        <v>420</v>
      </c>
      <c r="O111" s="1" t="s">
        <v>1605</v>
      </c>
    </row>
    <row r="112" spans="1:15" ht="15" customHeight="1" x14ac:dyDescent="0.25">
      <c r="A112" s="1" t="s">
        <v>425</v>
      </c>
      <c r="B112" s="1" t="s">
        <v>14</v>
      </c>
      <c r="C112" s="1" t="s">
        <v>838</v>
      </c>
      <c r="D112" s="1">
        <v>2022</v>
      </c>
      <c r="E112" s="1" t="s">
        <v>843</v>
      </c>
      <c r="F112" s="1" t="s">
        <v>1606</v>
      </c>
      <c r="G112" s="1">
        <v>15</v>
      </c>
      <c r="I112" s="1" t="s">
        <v>840</v>
      </c>
      <c r="M112" s="1" t="s">
        <v>842</v>
      </c>
      <c r="O112" s="1" t="s">
        <v>844</v>
      </c>
    </row>
    <row r="113" spans="1:15" ht="15" customHeight="1" x14ac:dyDescent="0.25">
      <c r="A113" s="1" t="s">
        <v>425</v>
      </c>
      <c r="B113" s="1" t="s">
        <v>14</v>
      </c>
      <c r="C113" s="1" t="s">
        <v>1609</v>
      </c>
      <c r="D113" s="1">
        <v>2022</v>
      </c>
      <c r="E113" s="1" t="s">
        <v>1610</v>
      </c>
      <c r="F113" s="1" t="s">
        <v>1611</v>
      </c>
      <c r="G113" s="1">
        <v>19</v>
      </c>
      <c r="H113" s="1">
        <v>3</v>
      </c>
      <c r="M113" s="1" t="s">
        <v>1612</v>
      </c>
      <c r="O113" s="1" t="s">
        <v>1613</v>
      </c>
    </row>
    <row r="114" spans="1:15" ht="15" customHeight="1" x14ac:dyDescent="0.25">
      <c r="A114" s="1" t="s">
        <v>425</v>
      </c>
      <c r="B114" s="1" t="s">
        <v>14</v>
      </c>
      <c r="C114" s="1" t="s">
        <v>344</v>
      </c>
      <c r="D114" s="1">
        <v>2023</v>
      </c>
      <c r="E114" s="1" t="s">
        <v>345</v>
      </c>
      <c r="F114" s="1" t="s">
        <v>148</v>
      </c>
      <c r="G114" s="1">
        <v>13</v>
      </c>
      <c r="H114" s="1">
        <v>5</v>
      </c>
      <c r="M114" s="1" t="s">
        <v>347</v>
      </c>
      <c r="O114" s="1" t="s">
        <v>1627</v>
      </c>
    </row>
    <row r="115" spans="1:15" ht="15" customHeight="1" x14ac:dyDescent="0.25">
      <c r="A115" s="1" t="s">
        <v>425</v>
      </c>
      <c r="B115" s="1" t="s">
        <v>14</v>
      </c>
      <c r="C115" s="1" t="s">
        <v>1108</v>
      </c>
      <c r="D115" s="1">
        <v>2022</v>
      </c>
      <c r="E115" s="1" t="s">
        <v>1109</v>
      </c>
      <c r="F115" s="1" t="s">
        <v>1628</v>
      </c>
      <c r="G115" s="1">
        <v>78</v>
      </c>
      <c r="M115" s="1" t="s">
        <v>1629</v>
      </c>
      <c r="O115" s="1" t="s">
        <v>1630</v>
      </c>
    </row>
    <row r="116" spans="1:15" ht="15" customHeight="1" x14ac:dyDescent="0.25">
      <c r="A116" s="1" t="s">
        <v>425</v>
      </c>
      <c r="B116" s="1" t="s">
        <v>14</v>
      </c>
      <c r="C116" s="1" t="s">
        <v>349</v>
      </c>
      <c r="D116" s="1">
        <v>2023</v>
      </c>
      <c r="E116" s="1" t="s">
        <v>350</v>
      </c>
      <c r="F116" s="1" t="s">
        <v>148</v>
      </c>
      <c r="G116" s="1">
        <v>13</v>
      </c>
      <c r="H116" s="1">
        <v>9</v>
      </c>
      <c r="M116" s="1" t="s">
        <v>352</v>
      </c>
      <c r="O116" s="1" t="s">
        <v>1636</v>
      </c>
    </row>
    <row r="117" spans="1:15" ht="15" customHeight="1" x14ac:dyDescent="0.25">
      <c r="A117" s="1" t="s">
        <v>425</v>
      </c>
      <c r="B117" s="1" t="s">
        <v>14</v>
      </c>
      <c r="C117" s="1" t="s">
        <v>354</v>
      </c>
      <c r="D117" s="1">
        <v>2023</v>
      </c>
      <c r="E117" s="1" t="s">
        <v>355</v>
      </c>
      <c r="F117" s="1" t="s">
        <v>17</v>
      </c>
      <c r="G117" s="1">
        <v>11</v>
      </c>
      <c r="I117" s="1" t="s">
        <v>423</v>
      </c>
      <c r="M117" s="1" t="s">
        <v>356</v>
      </c>
      <c r="O117" s="1" t="s">
        <v>440</v>
      </c>
    </row>
    <row r="118" spans="1:15" ht="15" customHeight="1" x14ac:dyDescent="0.25">
      <c r="A118" s="1" t="s">
        <v>425</v>
      </c>
      <c r="B118" s="1" t="s">
        <v>14</v>
      </c>
      <c r="C118" s="1" t="s">
        <v>879</v>
      </c>
      <c r="D118" s="1">
        <v>2024</v>
      </c>
      <c r="E118" s="1" t="s">
        <v>1647</v>
      </c>
      <c r="F118" s="1" t="s">
        <v>1648</v>
      </c>
      <c r="G118" s="1">
        <v>16</v>
      </c>
      <c r="H118" s="1">
        <v>1</v>
      </c>
      <c r="I118" s="25">
        <v>16072</v>
      </c>
      <c r="M118" s="1" t="s">
        <v>1649</v>
      </c>
      <c r="O118" s="1" t="s">
        <v>1650</v>
      </c>
    </row>
    <row r="119" spans="1:15" ht="15" customHeight="1" x14ac:dyDescent="0.25">
      <c r="A119" s="1" t="s">
        <v>425</v>
      </c>
      <c r="B119" s="1" t="s">
        <v>14</v>
      </c>
      <c r="C119" s="1" t="s">
        <v>1653</v>
      </c>
      <c r="D119" s="1">
        <v>2023</v>
      </c>
      <c r="E119" s="1" t="s">
        <v>1654</v>
      </c>
      <c r="F119" s="1" t="s">
        <v>1655</v>
      </c>
      <c r="G119" s="1">
        <v>31</v>
      </c>
      <c r="H119" s="1">
        <v>3</v>
      </c>
      <c r="I119" s="1" t="s">
        <v>1656</v>
      </c>
      <c r="M119" s="1" t="s">
        <v>1657</v>
      </c>
      <c r="O119" s="1" t="s">
        <v>1658</v>
      </c>
    </row>
    <row r="120" spans="1:15" ht="15" customHeight="1" x14ac:dyDescent="0.25">
      <c r="A120" s="1" t="s">
        <v>425</v>
      </c>
      <c r="B120" s="1" t="s">
        <v>14</v>
      </c>
      <c r="C120" s="1" t="s">
        <v>1661</v>
      </c>
      <c r="D120" s="1">
        <v>2023</v>
      </c>
      <c r="E120" s="1" t="s">
        <v>1662</v>
      </c>
      <c r="F120" s="1" t="s">
        <v>1663</v>
      </c>
      <c r="G120" s="1">
        <v>5</v>
      </c>
      <c r="H120" s="1">
        <v>2</v>
      </c>
      <c r="M120" s="1" t="s">
        <v>1664</v>
      </c>
      <c r="O120" s="1" t="s">
        <v>1665</v>
      </c>
    </row>
    <row r="121" spans="1:15" ht="15" customHeight="1" x14ac:dyDescent="0.25">
      <c r="A121" s="1" t="s">
        <v>425</v>
      </c>
      <c r="B121" s="1" t="s">
        <v>14</v>
      </c>
      <c r="C121" s="1" t="s">
        <v>1666</v>
      </c>
      <c r="D121" s="1">
        <v>2022</v>
      </c>
      <c r="E121" s="1" t="s">
        <v>1667</v>
      </c>
      <c r="F121" s="1" t="s">
        <v>1668</v>
      </c>
      <c r="G121" s="1">
        <v>10</v>
      </c>
      <c r="H121" s="1">
        <v>5</v>
      </c>
      <c r="M121" s="1" t="s">
        <v>1669</v>
      </c>
      <c r="O121" s="1" t="s">
        <v>1670</v>
      </c>
    </row>
    <row r="122" spans="1:15" ht="15" customHeight="1" x14ac:dyDescent="0.25">
      <c r="A122" s="1" t="s">
        <v>425</v>
      </c>
      <c r="B122" s="1" t="s">
        <v>14</v>
      </c>
      <c r="C122" s="1" t="s">
        <v>1114</v>
      </c>
      <c r="D122" s="1">
        <v>2023</v>
      </c>
      <c r="E122" s="1" t="s">
        <v>1115</v>
      </c>
      <c r="F122" s="1" t="s">
        <v>1628</v>
      </c>
      <c r="G122" s="1">
        <v>86</v>
      </c>
      <c r="M122" s="1" t="s">
        <v>1671</v>
      </c>
      <c r="O122" s="1" t="s">
        <v>1119</v>
      </c>
    </row>
    <row r="123" spans="1:15" ht="15" customHeight="1" x14ac:dyDescent="0.25">
      <c r="A123" s="1" t="s">
        <v>425</v>
      </c>
      <c r="B123" s="1" t="s">
        <v>14</v>
      </c>
      <c r="C123" s="1" t="s">
        <v>1672</v>
      </c>
      <c r="D123" s="1">
        <v>2022</v>
      </c>
      <c r="E123" s="1" t="s">
        <v>1673</v>
      </c>
      <c r="F123" s="1" t="s">
        <v>1674</v>
      </c>
      <c r="G123" s="1">
        <v>2022</v>
      </c>
      <c r="M123" s="1" t="s">
        <v>1675</v>
      </c>
      <c r="O123" s="1" t="s">
        <v>1676</v>
      </c>
    </row>
    <row r="124" spans="1:15" ht="15" customHeight="1" x14ac:dyDescent="0.25">
      <c r="A124" s="1" t="s">
        <v>425</v>
      </c>
      <c r="B124" s="1" t="s">
        <v>14</v>
      </c>
      <c r="C124" s="1" t="s">
        <v>1677</v>
      </c>
      <c r="D124" s="1">
        <v>2021</v>
      </c>
      <c r="E124" s="1" t="s">
        <v>1678</v>
      </c>
      <c r="F124" s="1" t="s">
        <v>1679</v>
      </c>
      <c r="G124" s="1">
        <v>48</v>
      </c>
      <c r="H124" s="1">
        <v>9</v>
      </c>
      <c r="I124" s="1" t="s">
        <v>1680</v>
      </c>
      <c r="M124" s="1" t="s">
        <v>1681</v>
      </c>
      <c r="O124" s="1" t="s">
        <v>1682</v>
      </c>
    </row>
    <row r="125" spans="1:15" ht="15" customHeight="1" x14ac:dyDescent="0.25">
      <c r="A125" s="1" t="s">
        <v>425</v>
      </c>
      <c r="B125" s="1" t="s">
        <v>14</v>
      </c>
      <c r="C125" s="1" t="s">
        <v>898</v>
      </c>
      <c r="D125" s="1">
        <v>2022</v>
      </c>
      <c r="E125" s="1" t="s">
        <v>902</v>
      </c>
      <c r="F125" s="1" t="s">
        <v>1683</v>
      </c>
      <c r="G125" s="1">
        <v>19</v>
      </c>
      <c r="M125" s="1" t="s">
        <v>901</v>
      </c>
      <c r="O125" s="1" t="s">
        <v>1684</v>
      </c>
    </row>
    <row r="126" spans="1:15" ht="15" customHeight="1" x14ac:dyDescent="0.25">
      <c r="A126" s="1" t="s">
        <v>425</v>
      </c>
      <c r="B126" s="1" t="s">
        <v>14</v>
      </c>
      <c r="C126" s="1" t="s">
        <v>1120</v>
      </c>
      <c r="D126" s="1">
        <v>2023</v>
      </c>
      <c r="E126" s="1" t="s">
        <v>1121</v>
      </c>
      <c r="F126" s="1" t="s">
        <v>1685</v>
      </c>
      <c r="G126" s="1">
        <v>164</v>
      </c>
      <c r="I126" s="1" t="s">
        <v>1122</v>
      </c>
      <c r="M126" s="1" t="s">
        <v>1686</v>
      </c>
      <c r="O126" s="1" t="s">
        <v>1687</v>
      </c>
    </row>
    <row r="127" spans="1:15" ht="15" customHeight="1" x14ac:dyDescent="0.25">
      <c r="A127" s="1" t="s">
        <v>425</v>
      </c>
      <c r="B127" s="1" t="s">
        <v>14</v>
      </c>
      <c r="C127" s="1" t="s">
        <v>1696</v>
      </c>
      <c r="D127" s="1">
        <v>2023</v>
      </c>
      <c r="E127" s="1" t="s">
        <v>1697</v>
      </c>
      <c r="F127" s="1" t="s">
        <v>17</v>
      </c>
      <c r="G127" s="1">
        <v>11</v>
      </c>
      <c r="I127" s="1" t="s">
        <v>1698</v>
      </c>
      <c r="M127" s="1" t="s">
        <v>1699</v>
      </c>
      <c r="O127" s="1" t="s">
        <v>1700</v>
      </c>
    </row>
    <row r="128" spans="1:15" ht="15" customHeight="1" x14ac:dyDescent="0.25">
      <c r="A128" s="1" t="s">
        <v>425</v>
      </c>
      <c r="B128" s="1" t="s">
        <v>14</v>
      </c>
      <c r="C128" s="1" t="s">
        <v>1127</v>
      </c>
      <c r="D128" s="1">
        <v>2023</v>
      </c>
      <c r="E128" s="1" t="s">
        <v>1128</v>
      </c>
      <c r="F128" s="1" t="s">
        <v>1707</v>
      </c>
      <c r="G128" s="1">
        <v>126</v>
      </c>
      <c r="M128" s="1" t="s">
        <v>1708</v>
      </c>
      <c r="O128" s="1" t="s">
        <v>1132</v>
      </c>
    </row>
    <row r="129" spans="1:15" ht="15" customHeight="1" x14ac:dyDescent="0.25">
      <c r="A129" s="1" t="s">
        <v>425</v>
      </c>
      <c r="B129" s="1" t="s">
        <v>14</v>
      </c>
      <c r="C129" s="1" t="s">
        <v>917</v>
      </c>
      <c r="D129" s="1">
        <v>2020</v>
      </c>
      <c r="E129" s="1" t="s">
        <v>921</v>
      </c>
      <c r="F129" s="1" t="s">
        <v>17</v>
      </c>
      <c r="G129" s="1">
        <v>8</v>
      </c>
      <c r="I129" s="1" t="s">
        <v>918</v>
      </c>
      <c r="M129" s="1" t="s">
        <v>920</v>
      </c>
      <c r="O129" s="1" t="s">
        <v>1716</v>
      </c>
    </row>
    <row r="130" spans="1:15" ht="15" customHeight="1" x14ac:dyDescent="0.25">
      <c r="A130" s="1" t="s">
        <v>40</v>
      </c>
      <c r="B130" s="1" t="s">
        <v>34</v>
      </c>
      <c r="C130" s="1" t="s">
        <v>1771</v>
      </c>
      <c r="D130" s="1">
        <v>2021</v>
      </c>
      <c r="E130" s="1" t="s">
        <v>1772</v>
      </c>
      <c r="F130" s="1" t="s">
        <v>1773</v>
      </c>
      <c r="G130" s="1" t="s">
        <v>1774</v>
      </c>
      <c r="I130" s="1" t="s">
        <v>1775</v>
      </c>
      <c r="L130" s="1" t="s">
        <v>1776</v>
      </c>
      <c r="M130" s="1" t="s">
        <v>1777</v>
      </c>
      <c r="N130" s="1" t="s">
        <v>1778</v>
      </c>
      <c r="O130" s="1" t="s">
        <v>1779</v>
      </c>
    </row>
    <row r="131" spans="1:15" ht="15" customHeight="1" x14ac:dyDescent="0.25">
      <c r="A131" s="1" t="s">
        <v>40</v>
      </c>
      <c r="B131" s="1" t="s">
        <v>14</v>
      </c>
      <c r="C131" s="1" t="s">
        <v>1172</v>
      </c>
      <c r="D131" s="1">
        <v>2023</v>
      </c>
      <c r="E131" s="1" t="s">
        <v>1173</v>
      </c>
      <c r="F131" s="1" t="s">
        <v>470</v>
      </c>
      <c r="G131" s="1">
        <v>9</v>
      </c>
      <c r="H131" s="1">
        <v>2</v>
      </c>
      <c r="L131" s="1" t="s">
        <v>1783</v>
      </c>
      <c r="M131" s="1" t="s">
        <v>1175</v>
      </c>
      <c r="N131" s="1" t="s">
        <v>1784</v>
      </c>
      <c r="O131" s="1" t="s">
        <v>1785</v>
      </c>
    </row>
    <row r="132" spans="1:15" ht="15" customHeight="1" x14ac:dyDescent="0.25">
      <c r="A132" s="1" t="s">
        <v>40</v>
      </c>
      <c r="B132" s="1" t="s">
        <v>34</v>
      </c>
      <c r="C132" s="1" t="s">
        <v>35</v>
      </c>
      <c r="D132" s="1">
        <v>2023</v>
      </c>
      <c r="E132" s="1" t="s">
        <v>36</v>
      </c>
      <c r="F132" s="1" t="s">
        <v>37</v>
      </c>
      <c r="L132" s="1" t="s">
        <v>39</v>
      </c>
      <c r="M132" s="1" t="s">
        <v>38</v>
      </c>
      <c r="N132" s="1" t="s">
        <v>1786</v>
      </c>
      <c r="O132" s="1" t="s">
        <v>1787</v>
      </c>
    </row>
    <row r="133" spans="1:15" ht="15" customHeight="1" x14ac:dyDescent="0.25">
      <c r="A133" s="1" t="s">
        <v>40</v>
      </c>
      <c r="B133" s="1" t="s">
        <v>14</v>
      </c>
      <c r="C133" s="1" t="s">
        <v>945</v>
      </c>
      <c r="D133" s="1">
        <v>2024</v>
      </c>
      <c r="E133" s="1" t="s">
        <v>1791</v>
      </c>
      <c r="F133" s="1" t="s">
        <v>116</v>
      </c>
      <c r="G133" s="1">
        <v>170</v>
      </c>
      <c r="L133" s="1" t="s">
        <v>1792</v>
      </c>
      <c r="M133" s="1" t="s">
        <v>1793</v>
      </c>
      <c r="N133" s="1" t="s">
        <v>1794</v>
      </c>
      <c r="O133" s="1" t="s">
        <v>1795</v>
      </c>
    </row>
    <row r="134" spans="1:15" ht="15" customHeight="1" x14ac:dyDescent="0.25">
      <c r="A134" s="1" t="s">
        <v>40</v>
      </c>
      <c r="B134" s="1" t="s">
        <v>34</v>
      </c>
      <c r="C134" s="1" t="s">
        <v>1181</v>
      </c>
      <c r="D134" s="1">
        <v>2021</v>
      </c>
      <c r="E134" s="1" t="s">
        <v>1182</v>
      </c>
      <c r="F134" s="1" t="s">
        <v>231</v>
      </c>
      <c r="G134" s="1" t="s">
        <v>1796</v>
      </c>
      <c r="I134" s="1" t="s">
        <v>1184</v>
      </c>
      <c r="L134" s="1" t="s">
        <v>1797</v>
      </c>
      <c r="M134" s="1" t="s">
        <v>1185</v>
      </c>
      <c r="N134" s="1" t="s">
        <v>1798</v>
      </c>
      <c r="O134" s="1" t="s">
        <v>1799</v>
      </c>
    </row>
    <row r="135" spans="1:15" ht="15" customHeight="1" x14ac:dyDescent="0.25">
      <c r="A135" s="1" t="s">
        <v>40</v>
      </c>
      <c r="B135" s="1" t="s">
        <v>34</v>
      </c>
      <c r="C135" s="1" t="s">
        <v>551</v>
      </c>
      <c r="D135" s="1">
        <v>2020</v>
      </c>
      <c r="E135" s="1" t="s">
        <v>555</v>
      </c>
      <c r="F135" s="1" t="s">
        <v>2352</v>
      </c>
      <c r="L135" s="1" t="s">
        <v>2353</v>
      </c>
      <c r="M135" s="1" t="s">
        <v>554</v>
      </c>
      <c r="N135" s="1" t="s">
        <v>2354</v>
      </c>
      <c r="O135" s="1" t="s">
        <v>2355</v>
      </c>
    </row>
    <row r="136" spans="1:15" ht="15" customHeight="1" x14ac:dyDescent="0.25">
      <c r="A136" s="1" t="s">
        <v>40</v>
      </c>
      <c r="B136" s="1" t="s">
        <v>34</v>
      </c>
      <c r="C136" s="1" t="s">
        <v>2356</v>
      </c>
      <c r="D136" s="1">
        <v>2020</v>
      </c>
      <c r="E136" s="1" t="s">
        <v>2357</v>
      </c>
      <c r="F136" s="1" t="s">
        <v>444</v>
      </c>
      <c r="G136" s="1">
        <v>2742</v>
      </c>
      <c r="I136" s="1" t="s">
        <v>514</v>
      </c>
      <c r="L136" s="1" t="s">
        <v>2358</v>
      </c>
      <c r="N136" s="1" t="s">
        <v>2359</v>
      </c>
      <c r="O136" s="1" t="s">
        <v>2360</v>
      </c>
    </row>
    <row r="137" spans="1:15" ht="15" customHeight="1" x14ac:dyDescent="0.25">
      <c r="A137" s="1" t="s">
        <v>40</v>
      </c>
      <c r="B137" s="1" t="s">
        <v>34</v>
      </c>
      <c r="C137" s="1" t="s">
        <v>51</v>
      </c>
      <c r="D137" s="1">
        <v>2022</v>
      </c>
      <c r="E137" s="1" t="s">
        <v>52</v>
      </c>
      <c r="F137" s="1" t="s">
        <v>53</v>
      </c>
      <c r="I137" s="1" t="s">
        <v>558</v>
      </c>
      <c r="L137" s="1" t="s">
        <v>55</v>
      </c>
      <c r="M137" s="1" t="s">
        <v>54</v>
      </c>
      <c r="N137" s="1" t="s">
        <v>1800</v>
      </c>
      <c r="O137" s="1" t="s">
        <v>1801</v>
      </c>
    </row>
    <row r="138" spans="1:15" ht="15" customHeight="1" x14ac:dyDescent="0.25">
      <c r="A138" s="1" t="s">
        <v>40</v>
      </c>
      <c r="B138" s="1" t="s">
        <v>14</v>
      </c>
      <c r="C138" s="1" t="s">
        <v>65</v>
      </c>
      <c r="D138" s="1">
        <v>2022</v>
      </c>
      <c r="E138" s="1" t="s">
        <v>66</v>
      </c>
      <c r="F138" s="1" t="s">
        <v>67</v>
      </c>
      <c r="G138" s="1">
        <v>12</v>
      </c>
      <c r="H138" s="1">
        <v>3</v>
      </c>
      <c r="L138" s="1" t="s">
        <v>69</v>
      </c>
      <c r="M138" s="1" t="s">
        <v>68</v>
      </c>
      <c r="N138" s="1" t="s">
        <v>1802</v>
      </c>
      <c r="O138" s="1" t="s">
        <v>1803</v>
      </c>
    </row>
    <row r="139" spans="1:15" ht="15" customHeight="1" x14ac:dyDescent="0.25">
      <c r="A139" s="1" t="s">
        <v>40</v>
      </c>
      <c r="B139" s="1" t="s">
        <v>14</v>
      </c>
      <c r="C139" s="1" t="s">
        <v>74</v>
      </c>
      <c r="D139" s="1">
        <v>2022</v>
      </c>
      <c r="E139" s="1" t="s">
        <v>75</v>
      </c>
      <c r="F139" s="1" t="s">
        <v>76</v>
      </c>
      <c r="G139" s="1">
        <v>3</v>
      </c>
      <c r="H139" s="1">
        <v>3</v>
      </c>
      <c r="L139" s="1" t="s">
        <v>78</v>
      </c>
      <c r="M139" s="1" t="s">
        <v>77</v>
      </c>
      <c r="N139" s="1" t="s">
        <v>1819</v>
      </c>
      <c r="O139" s="1" t="s">
        <v>1820</v>
      </c>
    </row>
    <row r="140" spans="1:15" ht="15" customHeight="1" x14ac:dyDescent="0.25">
      <c r="A140" s="1" t="s">
        <v>40</v>
      </c>
      <c r="B140" s="1" t="s">
        <v>34</v>
      </c>
      <c r="C140" s="1" t="s">
        <v>1845</v>
      </c>
      <c r="D140" s="1">
        <v>2023</v>
      </c>
      <c r="E140" s="1" t="s">
        <v>1846</v>
      </c>
      <c r="F140" s="1" t="s">
        <v>81</v>
      </c>
      <c r="G140" s="1" t="s">
        <v>1847</v>
      </c>
      <c r="I140" s="1" t="s">
        <v>1848</v>
      </c>
      <c r="L140" s="1" t="s">
        <v>1849</v>
      </c>
      <c r="M140" s="1" t="s">
        <v>1850</v>
      </c>
      <c r="N140" s="1" t="s">
        <v>1851</v>
      </c>
      <c r="O140" s="1" t="s">
        <v>1852</v>
      </c>
    </row>
    <row r="141" spans="1:15" ht="15" customHeight="1" x14ac:dyDescent="0.25">
      <c r="A141" s="1" t="s">
        <v>40</v>
      </c>
      <c r="B141" s="1" t="s">
        <v>34</v>
      </c>
      <c r="C141" s="1" t="s">
        <v>79</v>
      </c>
      <c r="D141" s="1">
        <v>2021</v>
      </c>
      <c r="E141" s="1" t="s">
        <v>80</v>
      </c>
      <c r="F141" s="1" t="s">
        <v>81</v>
      </c>
      <c r="G141" s="1" t="s">
        <v>1853</v>
      </c>
      <c r="I141" s="1" t="s">
        <v>1854</v>
      </c>
      <c r="L141" s="1" t="s">
        <v>83</v>
      </c>
      <c r="M141" s="1" t="s">
        <v>82</v>
      </c>
      <c r="N141" s="1" t="s">
        <v>1855</v>
      </c>
      <c r="O141" s="1" t="s">
        <v>1856</v>
      </c>
    </row>
    <row r="142" spans="1:15" ht="15" customHeight="1" x14ac:dyDescent="0.25">
      <c r="A142" s="1" t="s">
        <v>40</v>
      </c>
      <c r="B142" s="1" t="s">
        <v>34</v>
      </c>
      <c r="C142" s="1" t="s">
        <v>86</v>
      </c>
      <c r="D142" s="1">
        <v>2020</v>
      </c>
      <c r="E142" s="1" t="s">
        <v>87</v>
      </c>
      <c r="F142" s="1" t="s">
        <v>88</v>
      </c>
      <c r="L142" s="1" t="s">
        <v>90</v>
      </c>
      <c r="M142" s="1" t="s">
        <v>89</v>
      </c>
      <c r="N142" s="1" t="s">
        <v>2361</v>
      </c>
      <c r="O142" s="1" t="s">
        <v>2362</v>
      </c>
    </row>
    <row r="143" spans="1:15" ht="15" customHeight="1" x14ac:dyDescent="0.25">
      <c r="A143" s="1" t="s">
        <v>40</v>
      </c>
      <c r="B143" s="1" t="s">
        <v>34</v>
      </c>
      <c r="C143" s="1" t="s">
        <v>1864</v>
      </c>
      <c r="D143" s="1">
        <v>2022</v>
      </c>
      <c r="E143" s="1" t="s">
        <v>1865</v>
      </c>
      <c r="F143" s="1" t="s">
        <v>184</v>
      </c>
      <c r="G143" s="1">
        <v>12287</v>
      </c>
      <c r="L143" s="1" t="s">
        <v>1866</v>
      </c>
      <c r="M143" s="1" t="s">
        <v>1867</v>
      </c>
      <c r="N143" s="1" t="s">
        <v>1868</v>
      </c>
      <c r="O143" s="1" t="s">
        <v>1869</v>
      </c>
    </row>
    <row r="144" spans="1:15" ht="15" customHeight="1" x14ac:dyDescent="0.25">
      <c r="A144" s="1" t="s">
        <v>40</v>
      </c>
      <c r="B144" s="1" t="s">
        <v>34</v>
      </c>
      <c r="C144" s="1" t="s">
        <v>2363</v>
      </c>
      <c r="D144" s="1">
        <v>2020</v>
      </c>
      <c r="E144" s="1" t="s">
        <v>2364</v>
      </c>
      <c r="F144" s="1" t="s">
        <v>488</v>
      </c>
      <c r="I144" s="1" t="s">
        <v>2365</v>
      </c>
      <c r="L144" s="1" t="s">
        <v>2366</v>
      </c>
      <c r="M144" s="1" t="s">
        <v>2367</v>
      </c>
      <c r="N144" s="1" t="s">
        <v>2368</v>
      </c>
      <c r="O144" s="1" t="s">
        <v>2369</v>
      </c>
    </row>
    <row r="145" spans="1:15" ht="15" customHeight="1" x14ac:dyDescent="0.25">
      <c r="A145" s="1" t="s">
        <v>40</v>
      </c>
      <c r="B145" s="1" t="s">
        <v>34</v>
      </c>
      <c r="C145" s="1" t="s">
        <v>1870</v>
      </c>
      <c r="D145" s="1">
        <v>2023</v>
      </c>
      <c r="E145" s="1" t="s">
        <v>1871</v>
      </c>
      <c r="F145" s="1" t="s">
        <v>1773</v>
      </c>
      <c r="G145" s="1" t="s">
        <v>1872</v>
      </c>
      <c r="I145" s="1" t="s">
        <v>1873</v>
      </c>
      <c r="L145" s="1" t="s">
        <v>1874</v>
      </c>
      <c r="M145" s="1" t="s">
        <v>1875</v>
      </c>
      <c r="N145" s="1" t="s">
        <v>1876</v>
      </c>
      <c r="O145" s="1" t="s">
        <v>1877</v>
      </c>
    </row>
    <row r="146" spans="1:15" ht="15" customHeight="1" x14ac:dyDescent="0.25">
      <c r="A146" s="1" t="s">
        <v>40</v>
      </c>
      <c r="B146" s="1" t="s">
        <v>34</v>
      </c>
      <c r="C146" s="1" t="s">
        <v>92</v>
      </c>
      <c r="D146" s="1">
        <v>2023</v>
      </c>
      <c r="E146" s="1" t="s">
        <v>93</v>
      </c>
      <c r="F146" s="1" t="s">
        <v>94</v>
      </c>
      <c r="I146" s="1" t="s">
        <v>592</v>
      </c>
      <c r="L146" s="1" t="s">
        <v>96</v>
      </c>
      <c r="M146" s="1" t="s">
        <v>95</v>
      </c>
      <c r="N146" s="1" t="s">
        <v>1878</v>
      </c>
      <c r="O146" s="1" t="s">
        <v>1879</v>
      </c>
    </row>
    <row r="147" spans="1:15" ht="15" customHeight="1" x14ac:dyDescent="0.25">
      <c r="A147" s="1" t="s">
        <v>40</v>
      </c>
      <c r="B147" s="1" t="s">
        <v>34</v>
      </c>
      <c r="C147" s="1" t="s">
        <v>107</v>
      </c>
      <c r="D147" s="1">
        <v>2021</v>
      </c>
      <c r="E147" s="1" t="s">
        <v>108</v>
      </c>
      <c r="F147" s="1" t="s">
        <v>109</v>
      </c>
      <c r="I147" s="1" t="s">
        <v>616</v>
      </c>
      <c r="L147" s="1" t="s">
        <v>111</v>
      </c>
      <c r="M147" s="1" t="s">
        <v>110</v>
      </c>
      <c r="N147" s="1" t="s">
        <v>1922</v>
      </c>
      <c r="O147" s="1" t="s">
        <v>1923</v>
      </c>
    </row>
    <row r="148" spans="1:15" ht="15" customHeight="1" x14ac:dyDescent="0.25">
      <c r="A148" s="1" t="s">
        <v>40</v>
      </c>
      <c r="B148" s="1" t="s">
        <v>130</v>
      </c>
      <c r="C148" s="1" t="s">
        <v>131</v>
      </c>
      <c r="D148" s="1">
        <v>2023</v>
      </c>
      <c r="E148" s="1" t="s">
        <v>132</v>
      </c>
      <c r="F148" s="1" t="s">
        <v>133</v>
      </c>
      <c r="I148" s="1" t="s">
        <v>1935</v>
      </c>
      <c r="L148" s="1" t="s">
        <v>134</v>
      </c>
    </row>
    <row r="149" spans="1:15" ht="15" customHeight="1" x14ac:dyDescent="0.25">
      <c r="A149" s="1" t="s">
        <v>40</v>
      </c>
      <c r="B149" s="1" t="s">
        <v>34</v>
      </c>
      <c r="C149" s="1" t="s">
        <v>139</v>
      </c>
      <c r="D149" s="1">
        <v>2023</v>
      </c>
      <c r="E149" s="1" t="s">
        <v>140</v>
      </c>
      <c r="F149" s="1" t="s">
        <v>141</v>
      </c>
      <c r="L149" s="1" t="s">
        <v>143</v>
      </c>
      <c r="M149" s="1" t="s">
        <v>142</v>
      </c>
      <c r="N149" s="1" t="s">
        <v>1953</v>
      </c>
      <c r="O149" s="1" t="s">
        <v>1954</v>
      </c>
    </row>
    <row r="150" spans="1:15" ht="15" customHeight="1" x14ac:dyDescent="0.25">
      <c r="A150" s="1" t="s">
        <v>40</v>
      </c>
      <c r="B150" s="1" t="s">
        <v>34</v>
      </c>
      <c r="C150" s="1" t="s">
        <v>1981</v>
      </c>
      <c r="D150" s="1">
        <v>2022</v>
      </c>
      <c r="E150" s="1" t="s">
        <v>1982</v>
      </c>
      <c r="F150" s="1" t="s">
        <v>488</v>
      </c>
      <c r="L150" s="1" t="s">
        <v>1983</v>
      </c>
      <c r="M150" s="1" t="s">
        <v>1984</v>
      </c>
      <c r="N150" s="1" t="s">
        <v>1985</v>
      </c>
      <c r="O150" s="1" t="s">
        <v>1986</v>
      </c>
    </row>
    <row r="151" spans="1:15" ht="15" customHeight="1" x14ac:dyDescent="0.25">
      <c r="A151" s="1" t="s">
        <v>40</v>
      </c>
      <c r="B151" s="1" t="s">
        <v>34</v>
      </c>
      <c r="C151" s="1" t="s">
        <v>651</v>
      </c>
      <c r="D151" s="1">
        <v>2023</v>
      </c>
      <c r="E151" s="1" t="s">
        <v>655</v>
      </c>
      <c r="F151" s="1" t="s">
        <v>2002</v>
      </c>
      <c r="L151" s="1" t="s">
        <v>2003</v>
      </c>
      <c r="M151" s="1" t="s">
        <v>654</v>
      </c>
      <c r="N151" s="1" t="s">
        <v>2004</v>
      </c>
      <c r="O151" s="1" t="s">
        <v>2005</v>
      </c>
    </row>
    <row r="152" spans="1:15" ht="15" customHeight="1" x14ac:dyDescent="0.25">
      <c r="A152" s="1" t="s">
        <v>40</v>
      </c>
      <c r="B152" s="1" t="s">
        <v>14</v>
      </c>
      <c r="C152" s="1" t="s">
        <v>156</v>
      </c>
      <c r="D152" s="1">
        <v>2022</v>
      </c>
      <c r="E152" s="1" t="s">
        <v>157</v>
      </c>
      <c r="F152" s="1" t="s">
        <v>158</v>
      </c>
      <c r="G152" s="1">
        <v>39</v>
      </c>
      <c r="H152" s="1">
        <v>7</v>
      </c>
      <c r="L152" s="1" t="s">
        <v>160</v>
      </c>
      <c r="M152" s="1" t="s">
        <v>159</v>
      </c>
      <c r="N152" s="1" t="s">
        <v>2006</v>
      </c>
      <c r="O152" s="1" t="s">
        <v>2007</v>
      </c>
    </row>
    <row r="153" spans="1:15" ht="15" customHeight="1" x14ac:dyDescent="0.25">
      <c r="A153" s="1" t="s">
        <v>40</v>
      </c>
      <c r="B153" s="1" t="s">
        <v>34</v>
      </c>
      <c r="C153" s="1" t="s">
        <v>162</v>
      </c>
      <c r="D153" s="1">
        <v>2021</v>
      </c>
      <c r="E153" s="1" t="s">
        <v>163</v>
      </c>
      <c r="F153" s="1" t="s">
        <v>164</v>
      </c>
      <c r="I153" s="1" t="s">
        <v>2008</v>
      </c>
      <c r="L153" s="1" t="s">
        <v>166</v>
      </c>
      <c r="M153" s="1" t="s">
        <v>165</v>
      </c>
      <c r="N153" s="1" t="s">
        <v>2009</v>
      </c>
      <c r="O153" s="1" t="s">
        <v>2010</v>
      </c>
    </row>
    <row r="154" spans="1:15" ht="15" customHeight="1" x14ac:dyDescent="0.25">
      <c r="A154" s="1" t="s">
        <v>40</v>
      </c>
      <c r="B154" s="1" t="s">
        <v>14</v>
      </c>
      <c r="C154" s="1" t="s">
        <v>1057</v>
      </c>
      <c r="D154" s="1">
        <v>2022</v>
      </c>
      <c r="E154" s="1" t="s">
        <v>1058</v>
      </c>
      <c r="F154" s="1" t="s">
        <v>372</v>
      </c>
      <c r="G154" s="1">
        <v>226</v>
      </c>
      <c r="L154" s="1" t="s">
        <v>2040</v>
      </c>
      <c r="M154" s="1" t="s">
        <v>1388</v>
      </c>
      <c r="N154" s="1" t="s">
        <v>2041</v>
      </c>
      <c r="O154" s="1" t="s">
        <v>2042</v>
      </c>
    </row>
    <row r="155" spans="1:15" ht="15" customHeight="1" x14ac:dyDescent="0.25">
      <c r="A155" s="1" t="s">
        <v>40</v>
      </c>
      <c r="B155" s="1" t="s">
        <v>34</v>
      </c>
      <c r="C155" s="1" t="s">
        <v>182</v>
      </c>
      <c r="D155" s="1">
        <v>2022</v>
      </c>
      <c r="E155" s="1" t="s">
        <v>183</v>
      </c>
      <c r="F155" s="1" t="s">
        <v>184</v>
      </c>
      <c r="G155" s="1">
        <v>12286</v>
      </c>
      <c r="L155" s="1" t="s">
        <v>186</v>
      </c>
      <c r="M155" s="1" t="s">
        <v>185</v>
      </c>
      <c r="N155" s="1" t="s">
        <v>2070</v>
      </c>
      <c r="O155" s="1" t="s">
        <v>2071</v>
      </c>
    </row>
    <row r="156" spans="1:15" ht="15" customHeight="1" x14ac:dyDescent="0.25">
      <c r="A156" s="1" t="s">
        <v>40</v>
      </c>
      <c r="B156" s="1" t="s">
        <v>34</v>
      </c>
      <c r="C156" s="1" t="s">
        <v>187</v>
      </c>
      <c r="D156" s="1">
        <v>2023</v>
      </c>
      <c r="E156" s="1" t="s">
        <v>188</v>
      </c>
      <c r="F156" s="1" t="s">
        <v>189</v>
      </c>
      <c r="L156" s="1" t="s">
        <v>191</v>
      </c>
      <c r="M156" s="1" t="s">
        <v>190</v>
      </c>
      <c r="N156" s="1" t="s">
        <v>2087</v>
      </c>
      <c r="O156" s="1" t="s">
        <v>2088</v>
      </c>
    </row>
    <row r="157" spans="1:15" ht="15" customHeight="1" x14ac:dyDescent="0.25">
      <c r="A157" s="1" t="s">
        <v>40</v>
      </c>
      <c r="B157" s="1" t="s">
        <v>34</v>
      </c>
      <c r="C157" s="1" t="s">
        <v>731</v>
      </c>
      <c r="D157" s="1">
        <v>2022</v>
      </c>
      <c r="E157" s="1" t="s">
        <v>734</v>
      </c>
      <c r="F157" s="1" t="s">
        <v>465</v>
      </c>
      <c r="L157" s="1" t="s">
        <v>2093</v>
      </c>
      <c r="M157" s="1" t="s">
        <v>733</v>
      </c>
      <c r="N157" s="1" t="s">
        <v>2094</v>
      </c>
      <c r="O157" s="1" t="s">
        <v>2095</v>
      </c>
    </row>
    <row r="158" spans="1:15" ht="15" customHeight="1" x14ac:dyDescent="0.25">
      <c r="A158" s="1" t="s">
        <v>40</v>
      </c>
      <c r="B158" s="1" t="s">
        <v>34</v>
      </c>
      <c r="C158" s="1" t="s">
        <v>192</v>
      </c>
      <c r="D158" s="1">
        <v>2022</v>
      </c>
      <c r="E158" s="1" t="s">
        <v>193</v>
      </c>
      <c r="F158" s="1" t="s">
        <v>2100</v>
      </c>
      <c r="I158" s="1" t="s">
        <v>748</v>
      </c>
      <c r="L158" s="1" t="s">
        <v>2101</v>
      </c>
      <c r="M158" s="1" t="s">
        <v>196</v>
      </c>
      <c r="N158" s="1" t="s">
        <v>2102</v>
      </c>
      <c r="O158" s="1" t="s">
        <v>2103</v>
      </c>
    </row>
    <row r="159" spans="1:15" ht="15" customHeight="1" x14ac:dyDescent="0.25">
      <c r="A159" s="1" t="s">
        <v>40</v>
      </c>
      <c r="B159" s="1" t="s">
        <v>14</v>
      </c>
      <c r="C159" s="1" t="s">
        <v>1496</v>
      </c>
      <c r="D159" s="1">
        <v>2023</v>
      </c>
      <c r="E159" s="1" t="s">
        <v>1497</v>
      </c>
      <c r="F159" s="1" t="s">
        <v>2134</v>
      </c>
      <c r="G159" s="1">
        <v>7</v>
      </c>
      <c r="H159" s="1">
        <v>2</v>
      </c>
      <c r="L159" s="1" t="s">
        <v>2135</v>
      </c>
      <c r="M159" s="1" t="s">
        <v>1499</v>
      </c>
      <c r="N159" s="1" t="s">
        <v>2136</v>
      </c>
      <c r="O159" s="1" t="s">
        <v>2137</v>
      </c>
    </row>
    <row r="160" spans="1:15" ht="15" customHeight="1" x14ac:dyDescent="0.25">
      <c r="A160" s="1" t="s">
        <v>40</v>
      </c>
      <c r="B160" s="1" t="s">
        <v>34</v>
      </c>
      <c r="C160" s="1" t="s">
        <v>229</v>
      </c>
      <c r="D160" s="1">
        <v>2022</v>
      </c>
      <c r="E160" s="1" t="s">
        <v>230</v>
      </c>
      <c r="F160" s="1" t="s">
        <v>231</v>
      </c>
      <c r="G160" s="1" t="s">
        <v>2138</v>
      </c>
      <c r="I160" s="1" t="s">
        <v>1509</v>
      </c>
      <c r="L160" s="1" t="s">
        <v>233</v>
      </c>
      <c r="M160" s="1" t="s">
        <v>232</v>
      </c>
      <c r="N160" s="1" t="s">
        <v>2139</v>
      </c>
      <c r="O160" s="1" t="s">
        <v>2140</v>
      </c>
    </row>
    <row r="161" spans="1:15" ht="15" customHeight="1" x14ac:dyDescent="0.25">
      <c r="A161" s="1" t="s">
        <v>40</v>
      </c>
      <c r="B161" s="1" t="s">
        <v>34</v>
      </c>
      <c r="C161" s="1" t="s">
        <v>236</v>
      </c>
      <c r="D161" s="1">
        <v>2021</v>
      </c>
      <c r="E161" s="1" t="s">
        <v>237</v>
      </c>
      <c r="F161" s="1" t="s">
        <v>238</v>
      </c>
      <c r="I161" s="24">
        <v>45505</v>
      </c>
      <c r="L161" s="1" t="s">
        <v>240</v>
      </c>
      <c r="M161" s="1" t="s">
        <v>239</v>
      </c>
      <c r="N161" s="1" t="s">
        <v>2141</v>
      </c>
      <c r="O161" s="1" t="s">
        <v>2142</v>
      </c>
    </row>
    <row r="162" spans="1:15" ht="15" customHeight="1" x14ac:dyDescent="0.25">
      <c r="A162" s="1" t="s">
        <v>40</v>
      </c>
      <c r="B162" s="1" t="s">
        <v>34</v>
      </c>
      <c r="C162" s="1" t="s">
        <v>767</v>
      </c>
      <c r="D162" s="1">
        <v>2022</v>
      </c>
      <c r="E162" s="1" t="s">
        <v>771</v>
      </c>
      <c r="F162" s="1" t="s">
        <v>2162</v>
      </c>
      <c r="L162" s="1" t="s">
        <v>2163</v>
      </c>
      <c r="M162" s="1" t="s">
        <v>770</v>
      </c>
      <c r="N162" s="1" t="s">
        <v>2164</v>
      </c>
      <c r="O162" s="1" t="s">
        <v>2165</v>
      </c>
    </row>
    <row r="163" spans="1:15" ht="15" customHeight="1" x14ac:dyDescent="0.25">
      <c r="A163" s="1" t="s">
        <v>40</v>
      </c>
      <c r="B163" s="1" t="s">
        <v>14</v>
      </c>
      <c r="C163" s="1" t="s">
        <v>305</v>
      </c>
      <c r="D163" s="1">
        <v>2023</v>
      </c>
      <c r="E163" s="1" t="s">
        <v>306</v>
      </c>
      <c r="F163" s="1" t="s">
        <v>307</v>
      </c>
      <c r="L163" s="1" t="s">
        <v>309</v>
      </c>
      <c r="M163" s="1" t="s">
        <v>308</v>
      </c>
      <c r="N163" s="1" t="s">
        <v>2219</v>
      </c>
      <c r="O163" s="1" t="s">
        <v>2220</v>
      </c>
    </row>
    <row r="164" spans="1:15" ht="15" customHeight="1" x14ac:dyDescent="0.25">
      <c r="A164" s="1" t="s">
        <v>40</v>
      </c>
      <c r="B164" s="1" t="s">
        <v>34</v>
      </c>
      <c r="C164" s="1" t="s">
        <v>312</v>
      </c>
      <c r="D164" s="1">
        <v>2020</v>
      </c>
      <c r="E164" s="1" t="s">
        <v>313</v>
      </c>
      <c r="F164" s="1" t="s">
        <v>314</v>
      </c>
      <c r="I164" s="1" t="s">
        <v>797</v>
      </c>
      <c r="L164" s="1" t="s">
        <v>316</v>
      </c>
      <c r="M164" s="1" t="s">
        <v>315</v>
      </c>
      <c r="N164" s="1" t="s">
        <v>2370</v>
      </c>
      <c r="O164" s="1" t="s">
        <v>2371</v>
      </c>
    </row>
    <row r="165" spans="1:15" ht="15" customHeight="1" x14ac:dyDescent="0.25">
      <c r="A165" s="1" t="s">
        <v>40</v>
      </c>
      <c r="B165" s="1" t="s">
        <v>34</v>
      </c>
      <c r="C165" s="1" t="s">
        <v>318</v>
      </c>
      <c r="D165" s="1">
        <v>2022</v>
      </c>
      <c r="E165" s="1" t="s">
        <v>319</v>
      </c>
      <c r="F165" s="1" t="s">
        <v>209</v>
      </c>
      <c r="G165" s="1">
        <v>200</v>
      </c>
      <c r="I165" s="1" t="s">
        <v>1101</v>
      </c>
      <c r="L165" s="1" t="s">
        <v>321</v>
      </c>
      <c r="M165" s="1" t="s">
        <v>320</v>
      </c>
      <c r="N165" s="1" t="s">
        <v>2221</v>
      </c>
      <c r="O165" s="1" t="s">
        <v>2222</v>
      </c>
    </row>
    <row r="166" spans="1:15" ht="15" customHeight="1" x14ac:dyDescent="0.25">
      <c r="A166" s="1" t="s">
        <v>40</v>
      </c>
      <c r="B166" s="1" t="s">
        <v>34</v>
      </c>
      <c r="C166" s="1" t="s">
        <v>2223</v>
      </c>
      <c r="D166" s="1">
        <v>2024</v>
      </c>
      <c r="E166" s="1" t="s">
        <v>2224</v>
      </c>
      <c r="F166" s="1" t="s">
        <v>1773</v>
      </c>
      <c r="G166" s="1" t="s">
        <v>2225</v>
      </c>
      <c r="I166" s="1" t="s">
        <v>2226</v>
      </c>
      <c r="L166" s="1" t="s">
        <v>2227</v>
      </c>
      <c r="M166" s="1" t="s">
        <v>2228</v>
      </c>
      <c r="N166" s="1" t="s">
        <v>2229</v>
      </c>
      <c r="O166" s="1" t="s">
        <v>2230</v>
      </c>
    </row>
    <row r="167" spans="1:15" ht="15" customHeight="1" x14ac:dyDescent="0.25">
      <c r="A167" s="1" t="s">
        <v>40</v>
      </c>
      <c r="B167" s="1" t="s">
        <v>14</v>
      </c>
      <c r="C167" s="1" t="s">
        <v>332</v>
      </c>
      <c r="D167" s="1">
        <v>2023</v>
      </c>
      <c r="E167" s="1" t="s">
        <v>333</v>
      </c>
      <c r="F167" s="1" t="s">
        <v>76</v>
      </c>
      <c r="G167" s="1">
        <v>4</v>
      </c>
      <c r="H167" s="1">
        <v>6</v>
      </c>
      <c r="L167" s="1" t="s">
        <v>335</v>
      </c>
      <c r="M167" s="1" t="s">
        <v>334</v>
      </c>
      <c r="N167" s="1" t="s">
        <v>2235</v>
      </c>
      <c r="O167" s="1" t="s">
        <v>2236</v>
      </c>
    </row>
    <row r="168" spans="1:15" ht="15" customHeight="1" x14ac:dyDescent="0.25">
      <c r="A168" s="1" t="s">
        <v>40</v>
      </c>
      <c r="B168" s="1" t="s">
        <v>34</v>
      </c>
      <c r="C168" s="1" t="s">
        <v>2253</v>
      </c>
      <c r="D168" s="1">
        <v>2022</v>
      </c>
      <c r="E168" s="1" t="s">
        <v>2254</v>
      </c>
      <c r="F168" s="1" t="s">
        <v>488</v>
      </c>
      <c r="I168" s="1" t="s">
        <v>2255</v>
      </c>
      <c r="L168" s="1" t="s">
        <v>2256</v>
      </c>
      <c r="M168" s="1" t="s">
        <v>2257</v>
      </c>
      <c r="N168" s="1" t="s">
        <v>2258</v>
      </c>
      <c r="O168" s="1" t="s">
        <v>2259</v>
      </c>
    </row>
    <row r="169" spans="1:15" ht="15" customHeight="1" x14ac:dyDescent="0.25">
      <c r="A169" s="1" t="s">
        <v>40</v>
      </c>
      <c r="B169" s="1" t="s">
        <v>14</v>
      </c>
      <c r="C169" s="1" t="s">
        <v>1108</v>
      </c>
      <c r="D169" s="1">
        <v>2022</v>
      </c>
      <c r="E169" s="1" t="s">
        <v>1109</v>
      </c>
      <c r="F169" s="1" t="s">
        <v>27</v>
      </c>
      <c r="G169" s="1">
        <v>78</v>
      </c>
      <c r="L169" s="1" t="s">
        <v>2274</v>
      </c>
      <c r="M169" s="1" t="s">
        <v>1629</v>
      </c>
      <c r="N169" s="1" t="s">
        <v>2275</v>
      </c>
      <c r="O169" s="1" t="s">
        <v>2276</v>
      </c>
    </row>
    <row r="170" spans="1:15" ht="15" customHeight="1" x14ac:dyDescent="0.25">
      <c r="A170" s="1" t="s">
        <v>40</v>
      </c>
      <c r="B170" s="1" t="s">
        <v>34</v>
      </c>
      <c r="C170" s="1" t="s">
        <v>2282</v>
      </c>
      <c r="D170" s="1">
        <v>2023</v>
      </c>
      <c r="E170" s="1" t="s">
        <v>876</v>
      </c>
      <c r="F170" s="1" t="s">
        <v>2283</v>
      </c>
      <c r="G170" s="1" t="s">
        <v>489</v>
      </c>
      <c r="I170" s="1" t="s">
        <v>873</v>
      </c>
      <c r="L170" s="1" t="s">
        <v>2284</v>
      </c>
      <c r="M170" s="1" t="s">
        <v>875</v>
      </c>
      <c r="N170" s="1" t="s">
        <v>2285</v>
      </c>
      <c r="O170" s="1" t="s">
        <v>2286</v>
      </c>
    </row>
    <row r="171" spans="1:15" ht="15" customHeight="1" x14ac:dyDescent="0.25">
      <c r="A171" s="1" t="s">
        <v>40</v>
      </c>
      <c r="B171" s="1" t="s">
        <v>34</v>
      </c>
      <c r="C171" s="1" t="s">
        <v>879</v>
      </c>
      <c r="D171" s="1">
        <v>2023</v>
      </c>
      <c r="E171" s="1" t="s">
        <v>884</v>
      </c>
      <c r="F171" s="1" t="s">
        <v>2287</v>
      </c>
      <c r="I171" s="1" t="s">
        <v>881</v>
      </c>
      <c r="L171" s="1" t="s">
        <v>2288</v>
      </c>
      <c r="M171" s="1" t="s">
        <v>883</v>
      </c>
      <c r="N171" s="1" t="s">
        <v>2289</v>
      </c>
      <c r="O171" s="1" t="s">
        <v>2290</v>
      </c>
    </row>
    <row r="172" spans="1:15" ht="15" customHeight="1" x14ac:dyDescent="0.25">
      <c r="A172" s="1" t="s">
        <v>40</v>
      </c>
      <c r="B172" s="1" t="s">
        <v>14</v>
      </c>
      <c r="C172" s="1" t="s">
        <v>2309</v>
      </c>
      <c r="D172" s="1">
        <v>2022</v>
      </c>
      <c r="E172" s="1" t="s">
        <v>1667</v>
      </c>
      <c r="F172" s="1" t="s">
        <v>2310</v>
      </c>
      <c r="G172" s="1">
        <v>10</v>
      </c>
      <c r="H172" s="1">
        <v>5</v>
      </c>
      <c r="L172" s="1" t="s">
        <v>2311</v>
      </c>
      <c r="M172" s="1" t="s">
        <v>1669</v>
      </c>
      <c r="N172" s="1" t="s">
        <v>2312</v>
      </c>
      <c r="O172" s="1" t="s">
        <v>2313</v>
      </c>
    </row>
    <row r="173" spans="1:15" ht="15" customHeight="1" x14ac:dyDescent="0.25">
      <c r="A173" s="1" t="s">
        <v>40</v>
      </c>
      <c r="B173" s="1" t="s">
        <v>14</v>
      </c>
      <c r="C173" s="1" t="s">
        <v>1114</v>
      </c>
      <c r="D173" s="1">
        <v>2023</v>
      </c>
      <c r="E173" s="1" t="s">
        <v>1115</v>
      </c>
      <c r="F173" s="1" t="s">
        <v>27</v>
      </c>
      <c r="G173" s="1">
        <v>86</v>
      </c>
      <c r="L173" s="1" t="s">
        <v>2314</v>
      </c>
      <c r="M173" s="1" t="s">
        <v>1671</v>
      </c>
      <c r="N173" s="1" t="s">
        <v>2315</v>
      </c>
      <c r="O173" s="1" t="s">
        <v>2316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D51-AEEC-4AAC-BD2E-A81E6149839A}">
  <sheetPr codeName="Sheet6">
    <tabColor theme="4" tint="-0.249977111117893"/>
  </sheetPr>
  <dimension ref="A1:O428"/>
  <sheetViews>
    <sheetView workbookViewId="0">
      <pane ySplit="1" topLeftCell="A397" activePane="bottomLeft" state="frozen"/>
      <selection pane="bottomLeft" activeCell="C428" sqref="C428"/>
    </sheetView>
  </sheetViews>
  <sheetFormatPr defaultRowHeight="15" x14ac:dyDescent="0.25"/>
  <cols>
    <col min="1" max="1" width="19.28515625" customWidth="1"/>
    <col min="2" max="2" width="17" customWidth="1"/>
    <col min="3" max="3" width="11" customWidth="1"/>
    <col min="4" max="4" width="7.140625" customWidth="1"/>
    <col min="5" max="5" width="18.28515625" customWidth="1"/>
    <col min="6" max="6" width="17.28515625" customWidth="1"/>
    <col min="7" max="7" width="10.140625" customWidth="1"/>
    <col min="8" max="8" width="10.42578125" customWidth="1"/>
    <col min="9" max="9" width="8.28515625" customWidth="1"/>
    <col min="10" max="10" width="11.5703125" customWidth="1"/>
    <col min="11" max="11" width="17.140625" customWidth="1"/>
    <col min="12" max="12" width="6.5703125" customWidth="1"/>
    <col min="13" max="13" width="6.42578125" customWidth="1"/>
    <col min="14" max="14" width="11.85546875" customWidth="1"/>
    <col min="15" max="15" width="10.42578125" customWidth="1"/>
  </cols>
  <sheetData>
    <row r="1" spans="1:15" x14ac:dyDescent="0.25">
      <c r="A1" s="6" t="s">
        <v>358</v>
      </c>
      <c r="B1" s="7" t="s">
        <v>359</v>
      </c>
      <c r="C1" s="7" t="s">
        <v>360</v>
      </c>
      <c r="D1" s="8" t="s">
        <v>2</v>
      </c>
      <c r="E1" s="7" t="s">
        <v>3</v>
      </c>
      <c r="F1" s="9" t="s">
        <v>361</v>
      </c>
      <c r="G1" s="7" t="s">
        <v>362</v>
      </c>
      <c r="H1" s="7" t="s">
        <v>363</v>
      </c>
      <c r="I1" s="9" t="s">
        <v>364</v>
      </c>
      <c r="J1" s="7" t="s">
        <v>365</v>
      </c>
      <c r="K1" s="7" t="s">
        <v>366</v>
      </c>
      <c r="L1" s="7" t="s">
        <v>367</v>
      </c>
      <c r="M1" s="7" t="s">
        <v>6</v>
      </c>
      <c r="N1" s="7" t="s">
        <v>368</v>
      </c>
      <c r="O1" s="7" t="s">
        <v>369</v>
      </c>
    </row>
    <row r="2" spans="1:15" ht="210" x14ac:dyDescent="0.25">
      <c r="A2" t="s">
        <v>378</v>
      </c>
      <c r="B2" t="s">
        <v>34</v>
      </c>
      <c r="C2" t="s">
        <v>525</v>
      </c>
      <c r="D2">
        <v>2023</v>
      </c>
      <c r="E2" t="s">
        <v>528</v>
      </c>
      <c r="F2" t="s">
        <v>380</v>
      </c>
      <c r="I2" s="10">
        <v>45413</v>
      </c>
      <c r="M2" t="s">
        <v>527</v>
      </c>
      <c r="N2" s="1" t="s">
        <v>526</v>
      </c>
      <c r="O2" t="s">
        <v>529</v>
      </c>
    </row>
    <row r="3" spans="1:15" x14ac:dyDescent="0.25">
      <c r="A3" t="s">
        <v>378</v>
      </c>
      <c r="B3" t="s">
        <v>34</v>
      </c>
      <c r="C3" t="s">
        <v>530</v>
      </c>
      <c r="D3">
        <v>2022</v>
      </c>
      <c r="E3" t="s">
        <v>533</v>
      </c>
      <c r="F3" t="s">
        <v>422</v>
      </c>
      <c r="I3" s="10">
        <v>45505</v>
      </c>
      <c r="M3" t="s">
        <v>532</v>
      </c>
      <c r="N3" t="s">
        <v>531</v>
      </c>
      <c r="O3" t="s">
        <v>534</v>
      </c>
    </row>
    <row r="4" spans="1:15" x14ac:dyDescent="0.25">
      <c r="A4" t="s">
        <v>378</v>
      </c>
      <c r="B4" t="s">
        <v>14</v>
      </c>
      <c r="C4" t="s">
        <v>15</v>
      </c>
      <c r="D4">
        <v>2023</v>
      </c>
      <c r="E4" t="s">
        <v>16</v>
      </c>
      <c r="F4" t="s">
        <v>379</v>
      </c>
      <c r="G4">
        <v>11</v>
      </c>
      <c r="I4" t="s">
        <v>382</v>
      </c>
      <c r="M4" t="s">
        <v>19</v>
      </c>
      <c r="N4" t="s">
        <v>535</v>
      </c>
      <c r="O4" t="s">
        <v>383</v>
      </c>
    </row>
    <row r="5" spans="1:15" x14ac:dyDescent="0.25">
      <c r="A5" t="s">
        <v>378</v>
      </c>
      <c r="B5" t="s">
        <v>34</v>
      </c>
      <c r="C5" t="s">
        <v>536</v>
      </c>
      <c r="D5">
        <v>2022</v>
      </c>
      <c r="E5" t="s">
        <v>540</v>
      </c>
      <c r="F5" t="s">
        <v>537</v>
      </c>
      <c r="I5" s="10">
        <v>45444</v>
      </c>
      <c r="M5" t="s">
        <v>539</v>
      </c>
      <c r="N5" t="s">
        <v>538</v>
      </c>
      <c r="O5" t="s">
        <v>541</v>
      </c>
    </row>
    <row r="6" spans="1:15" x14ac:dyDescent="0.25">
      <c r="A6" t="s">
        <v>378</v>
      </c>
      <c r="B6" t="s">
        <v>34</v>
      </c>
      <c r="C6" t="s">
        <v>542</v>
      </c>
      <c r="D6">
        <v>2023</v>
      </c>
      <c r="E6" t="s">
        <v>546</v>
      </c>
      <c r="F6" t="s">
        <v>543</v>
      </c>
      <c r="I6" s="10">
        <v>45444</v>
      </c>
      <c r="M6" t="s">
        <v>545</v>
      </c>
      <c r="N6" t="s">
        <v>544</v>
      </c>
      <c r="O6" t="s">
        <v>547</v>
      </c>
    </row>
    <row r="7" spans="1:15" x14ac:dyDescent="0.25">
      <c r="A7" t="s">
        <v>378</v>
      </c>
      <c r="B7" t="s">
        <v>34</v>
      </c>
      <c r="C7" t="s">
        <v>35</v>
      </c>
      <c r="D7">
        <v>2023</v>
      </c>
      <c r="E7" t="s">
        <v>36</v>
      </c>
      <c r="F7" t="s">
        <v>548</v>
      </c>
      <c r="I7" s="10">
        <v>45413</v>
      </c>
      <c r="M7" t="s">
        <v>38</v>
      </c>
      <c r="N7" t="s">
        <v>549</v>
      </c>
      <c r="O7" t="s">
        <v>550</v>
      </c>
    </row>
    <row r="8" spans="1:15" x14ac:dyDescent="0.25">
      <c r="A8" t="s">
        <v>378</v>
      </c>
      <c r="B8" t="s">
        <v>34</v>
      </c>
      <c r="C8" t="s">
        <v>551</v>
      </c>
      <c r="D8">
        <v>2020</v>
      </c>
      <c r="E8" t="s">
        <v>555</v>
      </c>
      <c r="F8" t="s">
        <v>552</v>
      </c>
      <c r="I8" s="10">
        <v>45444</v>
      </c>
      <c r="M8" t="s">
        <v>554</v>
      </c>
      <c r="N8" t="s">
        <v>553</v>
      </c>
      <c r="O8" t="s">
        <v>556</v>
      </c>
    </row>
    <row r="9" spans="1:15" x14ac:dyDescent="0.25">
      <c r="A9" t="s">
        <v>378</v>
      </c>
      <c r="B9" t="s">
        <v>34</v>
      </c>
      <c r="C9" t="s">
        <v>51</v>
      </c>
      <c r="D9">
        <v>2022</v>
      </c>
      <c r="E9" t="s">
        <v>52</v>
      </c>
      <c r="F9" t="s">
        <v>557</v>
      </c>
      <c r="I9" t="s">
        <v>558</v>
      </c>
      <c r="M9" t="s">
        <v>54</v>
      </c>
      <c r="N9" t="s">
        <v>559</v>
      </c>
      <c r="O9" t="s">
        <v>560</v>
      </c>
    </row>
    <row r="10" spans="1:15" x14ac:dyDescent="0.25">
      <c r="A10" t="s">
        <v>378</v>
      </c>
      <c r="B10" t="s">
        <v>34</v>
      </c>
      <c r="C10" t="s">
        <v>385</v>
      </c>
      <c r="D10">
        <v>2023</v>
      </c>
      <c r="E10" t="s">
        <v>386</v>
      </c>
      <c r="F10" t="s">
        <v>387</v>
      </c>
      <c r="I10" t="s">
        <v>388</v>
      </c>
      <c r="M10" t="s">
        <v>389</v>
      </c>
      <c r="N10" t="s">
        <v>561</v>
      </c>
      <c r="O10" t="s">
        <v>390</v>
      </c>
    </row>
    <row r="11" spans="1:15" x14ac:dyDescent="0.25">
      <c r="A11" t="s">
        <v>378</v>
      </c>
      <c r="B11" t="s">
        <v>34</v>
      </c>
      <c r="C11" t="s">
        <v>562</v>
      </c>
      <c r="D11">
        <v>2023</v>
      </c>
      <c r="E11" t="s">
        <v>567</v>
      </c>
      <c r="F11" t="s">
        <v>563</v>
      </c>
      <c r="I11" t="s">
        <v>564</v>
      </c>
      <c r="M11" t="s">
        <v>566</v>
      </c>
      <c r="N11" t="s">
        <v>565</v>
      </c>
      <c r="O11" t="s">
        <v>568</v>
      </c>
    </row>
    <row r="12" spans="1:15" x14ac:dyDescent="0.25">
      <c r="A12" t="s">
        <v>378</v>
      </c>
      <c r="B12" t="s">
        <v>34</v>
      </c>
      <c r="C12" t="s">
        <v>569</v>
      </c>
      <c r="D12">
        <v>2023</v>
      </c>
      <c r="E12" t="s">
        <v>574</v>
      </c>
      <c r="F12" t="s">
        <v>570</v>
      </c>
      <c r="I12" t="s">
        <v>571</v>
      </c>
      <c r="M12" t="s">
        <v>573</v>
      </c>
      <c r="N12" t="s">
        <v>572</v>
      </c>
      <c r="O12" t="s">
        <v>575</v>
      </c>
    </row>
    <row r="13" spans="1:15" x14ac:dyDescent="0.25">
      <c r="A13" t="s">
        <v>378</v>
      </c>
      <c r="B13" t="s">
        <v>34</v>
      </c>
      <c r="C13" t="s">
        <v>576</v>
      </c>
      <c r="D13">
        <v>2021</v>
      </c>
      <c r="E13" t="s">
        <v>580</v>
      </c>
      <c r="F13" t="s">
        <v>577</v>
      </c>
      <c r="I13" s="10">
        <v>45444</v>
      </c>
      <c r="M13" t="s">
        <v>579</v>
      </c>
      <c r="N13" t="s">
        <v>578</v>
      </c>
      <c r="O13" t="s">
        <v>581</v>
      </c>
    </row>
    <row r="14" spans="1:15" x14ac:dyDescent="0.25">
      <c r="A14" t="s">
        <v>378</v>
      </c>
      <c r="B14" t="s">
        <v>14</v>
      </c>
      <c r="C14" t="s">
        <v>582</v>
      </c>
      <c r="D14">
        <v>2022</v>
      </c>
      <c r="E14" t="s">
        <v>586</v>
      </c>
      <c r="F14" t="s">
        <v>391</v>
      </c>
      <c r="G14">
        <v>26</v>
      </c>
      <c r="H14">
        <v>4</v>
      </c>
      <c r="I14" t="s">
        <v>583</v>
      </c>
      <c r="M14" t="s">
        <v>585</v>
      </c>
      <c r="N14" t="s">
        <v>584</v>
      </c>
      <c r="O14" t="s">
        <v>587</v>
      </c>
    </row>
    <row r="15" spans="1:15" x14ac:dyDescent="0.25">
      <c r="A15" t="s">
        <v>378</v>
      </c>
      <c r="B15" t="s">
        <v>34</v>
      </c>
      <c r="C15" t="s">
        <v>86</v>
      </c>
      <c r="D15">
        <v>2020</v>
      </c>
      <c r="E15" t="s">
        <v>87</v>
      </c>
      <c r="F15" t="s">
        <v>588</v>
      </c>
      <c r="I15" s="10">
        <v>45413</v>
      </c>
      <c r="M15" t="s">
        <v>89</v>
      </c>
      <c r="N15" t="s">
        <v>589</v>
      </c>
      <c r="O15" t="s">
        <v>590</v>
      </c>
    </row>
    <row r="16" spans="1:15" x14ac:dyDescent="0.25">
      <c r="A16" t="s">
        <v>378</v>
      </c>
      <c r="B16" t="s">
        <v>34</v>
      </c>
      <c r="C16" t="s">
        <v>92</v>
      </c>
      <c r="D16">
        <v>2023</v>
      </c>
      <c r="E16" t="s">
        <v>93</v>
      </c>
      <c r="F16" t="s">
        <v>591</v>
      </c>
      <c r="I16" t="s">
        <v>592</v>
      </c>
      <c r="M16" t="s">
        <v>95</v>
      </c>
      <c r="N16" t="s">
        <v>593</v>
      </c>
      <c r="O16" t="s">
        <v>594</v>
      </c>
    </row>
    <row r="17" spans="1:15" x14ac:dyDescent="0.25">
      <c r="A17" t="s">
        <v>378</v>
      </c>
      <c r="B17" t="s">
        <v>34</v>
      </c>
      <c r="C17" t="s">
        <v>595</v>
      </c>
      <c r="D17">
        <v>2022</v>
      </c>
      <c r="E17" t="s">
        <v>600</v>
      </c>
      <c r="F17" t="s">
        <v>596</v>
      </c>
      <c r="I17" t="s">
        <v>597</v>
      </c>
      <c r="M17" t="s">
        <v>599</v>
      </c>
      <c r="N17" t="s">
        <v>598</v>
      </c>
      <c r="O17" t="s">
        <v>601</v>
      </c>
    </row>
    <row r="18" spans="1:15" x14ac:dyDescent="0.25">
      <c r="A18" t="s">
        <v>378</v>
      </c>
      <c r="B18" t="s">
        <v>14</v>
      </c>
      <c r="C18" t="s">
        <v>602</v>
      </c>
      <c r="D18">
        <v>2021</v>
      </c>
      <c r="E18" t="s">
        <v>607</v>
      </c>
      <c r="F18" t="s">
        <v>603</v>
      </c>
      <c r="G18">
        <v>6</v>
      </c>
      <c r="H18">
        <v>2</v>
      </c>
      <c r="I18" t="s">
        <v>604</v>
      </c>
      <c r="M18" t="s">
        <v>606</v>
      </c>
      <c r="N18" t="s">
        <v>605</v>
      </c>
      <c r="O18" t="s">
        <v>608</v>
      </c>
    </row>
    <row r="19" spans="1:15" x14ac:dyDescent="0.25">
      <c r="A19" t="s">
        <v>378</v>
      </c>
      <c r="B19" t="s">
        <v>34</v>
      </c>
      <c r="C19" t="s">
        <v>609</v>
      </c>
      <c r="D19">
        <v>2023</v>
      </c>
      <c r="E19" t="s">
        <v>613</v>
      </c>
      <c r="F19" t="s">
        <v>610</v>
      </c>
      <c r="I19" s="10">
        <v>45444</v>
      </c>
      <c r="M19" t="s">
        <v>612</v>
      </c>
      <c r="N19" t="s">
        <v>611</v>
      </c>
      <c r="O19" t="s">
        <v>614</v>
      </c>
    </row>
    <row r="20" spans="1:15" x14ac:dyDescent="0.25">
      <c r="A20" t="s">
        <v>378</v>
      </c>
      <c r="B20" t="s">
        <v>34</v>
      </c>
      <c r="C20" t="s">
        <v>107</v>
      </c>
      <c r="D20">
        <v>2021</v>
      </c>
      <c r="E20" t="s">
        <v>108</v>
      </c>
      <c r="F20" t="s">
        <v>615</v>
      </c>
      <c r="I20" t="s">
        <v>616</v>
      </c>
      <c r="M20" t="s">
        <v>110</v>
      </c>
      <c r="N20" t="s">
        <v>617</v>
      </c>
      <c r="O20" t="s">
        <v>618</v>
      </c>
    </row>
    <row r="21" spans="1:15" x14ac:dyDescent="0.25">
      <c r="A21" t="s">
        <v>378</v>
      </c>
      <c r="B21" t="s">
        <v>34</v>
      </c>
      <c r="C21" t="s">
        <v>619</v>
      </c>
      <c r="D21">
        <v>2023</v>
      </c>
      <c r="E21" t="s">
        <v>140</v>
      </c>
      <c r="F21" t="s">
        <v>620</v>
      </c>
      <c r="I21" s="10">
        <v>45413</v>
      </c>
      <c r="M21" t="s">
        <v>142</v>
      </c>
      <c r="N21" t="s">
        <v>621</v>
      </c>
      <c r="O21" t="s">
        <v>622</v>
      </c>
    </row>
    <row r="22" spans="1:15" x14ac:dyDescent="0.25">
      <c r="A22" t="s">
        <v>378</v>
      </c>
      <c r="B22" t="s">
        <v>14</v>
      </c>
      <c r="C22" t="s">
        <v>122</v>
      </c>
      <c r="D22">
        <v>2021</v>
      </c>
      <c r="E22" t="s">
        <v>123</v>
      </c>
      <c r="F22" t="s">
        <v>379</v>
      </c>
      <c r="G22">
        <v>9</v>
      </c>
      <c r="I22" t="s">
        <v>392</v>
      </c>
      <c r="M22" t="s">
        <v>125</v>
      </c>
      <c r="N22" t="s">
        <v>623</v>
      </c>
      <c r="O22" t="s">
        <v>393</v>
      </c>
    </row>
    <row r="23" spans="1:15" x14ac:dyDescent="0.25">
      <c r="A23" t="s">
        <v>378</v>
      </c>
      <c r="B23" t="s">
        <v>34</v>
      </c>
      <c r="C23" t="s">
        <v>394</v>
      </c>
      <c r="D23">
        <v>2022</v>
      </c>
      <c r="E23" t="s">
        <v>395</v>
      </c>
      <c r="F23" t="s">
        <v>396</v>
      </c>
      <c r="I23" t="s">
        <v>397</v>
      </c>
      <c r="M23" t="s">
        <v>398</v>
      </c>
      <c r="N23" t="s">
        <v>624</v>
      </c>
      <c r="O23" t="s">
        <v>399</v>
      </c>
    </row>
    <row r="24" spans="1:15" x14ac:dyDescent="0.25">
      <c r="A24" t="s">
        <v>378</v>
      </c>
      <c r="B24" t="s">
        <v>34</v>
      </c>
      <c r="C24" t="s">
        <v>625</v>
      </c>
      <c r="D24">
        <v>2022</v>
      </c>
      <c r="E24" t="s">
        <v>629</v>
      </c>
      <c r="F24" t="s">
        <v>626</v>
      </c>
      <c r="I24" s="10">
        <v>45505</v>
      </c>
      <c r="M24" t="s">
        <v>628</v>
      </c>
      <c r="N24" t="s">
        <v>627</v>
      </c>
      <c r="O24" t="s">
        <v>630</v>
      </c>
    </row>
    <row r="25" spans="1:15" x14ac:dyDescent="0.25">
      <c r="A25" t="s">
        <v>378</v>
      </c>
      <c r="B25" t="s">
        <v>34</v>
      </c>
      <c r="C25" t="s">
        <v>631</v>
      </c>
      <c r="D25">
        <v>2022</v>
      </c>
      <c r="E25" t="s">
        <v>636</v>
      </c>
      <c r="F25" t="s">
        <v>632</v>
      </c>
      <c r="I25" t="s">
        <v>633</v>
      </c>
      <c r="M25" t="s">
        <v>635</v>
      </c>
      <c r="N25" t="s">
        <v>634</v>
      </c>
      <c r="O25" t="s">
        <v>637</v>
      </c>
    </row>
    <row r="26" spans="1:15" x14ac:dyDescent="0.25">
      <c r="A26" t="s">
        <v>378</v>
      </c>
      <c r="B26" t="s">
        <v>34</v>
      </c>
      <c r="C26" t="s">
        <v>638</v>
      </c>
      <c r="D26">
        <v>2022</v>
      </c>
      <c r="E26" t="s">
        <v>643</v>
      </c>
      <c r="F26" t="s">
        <v>639</v>
      </c>
      <c r="I26" t="s">
        <v>640</v>
      </c>
      <c r="M26" t="s">
        <v>642</v>
      </c>
      <c r="N26" t="s">
        <v>641</v>
      </c>
      <c r="O26" t="s">
        <v>644</v>
      </c>
    </row>
    <row r="27" spans="1:15" x14ac:dyDescent="0.25">
      <c r="A27" t="s">
        <v>378</v>
      </c>
      <c r="B27" t="s">
        <v>14</v>
      </c>
      <c r="C27" t="s">
        <v>645</v>
      </c>
      <c r="D27">
        <v>2023</v>
      </c>
      <c r="E27" t="s">
        <v>649</v>
      </c>
      <c r="F27" t="s">
        <v>411</v>
      </c>
      <c r="G27">
        <v>11</v>
      </c>
      <c r="I27" t="s">
        <v>646</v>
      </c>
      <c r="M27" t="s">
        <v>648</v>
      </c>
      <c r="N27" t="s">
        <v>647</v>
      </c>
      <c r="O27" t="s">
        <v>650</v>
      </c>
    </row>
    <row r="28" spans="1:15" x14ac:dyDescent="0.25">
      <c r="A28" t="s">
        <v>378</v>
      </c>
      <c r="B28" t="s">
        <v>34</v>
      </c>
      <c r="C28" t="s">
        <v>651</v>
      </c>
      <c r="D28">
        <v>2023</v>
      </c>
      <c r="E28" t="s">
        <v>655</v>
      </c>
      <c r="F28" t="s">
        <v>652</v>
      </c>
      <c r="I28" s="10">
        <v>45474</v>
      </c>
      <c r="M28" t="s">
        <v>654</v>
      </c>
      <c r="N28" t="s">
        <v>653</v>
      </c>
      <c r="O28" t="s">
        <v>656</v>
      </c>
    </row>
    <row r="29" spans="1:15" x14ac:dyDescent="0.25">
      <c r="A29" t="s">
        <v>378</v>
      </c>
      <c r="B29" t="s">
        <v>34</v>
      </c>
      <c r="C29" t="s">
        <v>162</v>
      </c>
      <c r="D29">
        <v>2021</v>
      </c>
      <c r="E29" t="s">
        <v>163</v>
      </c>
      <c r="F29" t="s">
        <v>657</v>
      </c>
      <c r="I29" t="s">
        <v>658</v>
      </c>
      <c r="M29" t="s">
        <v>165</v>
      </c>
      <c r="N29" t="s">
        <v>659</v>
      </c>
      <c r="O29" t="s">
        <v>660</v>
      </c>
    </row>
    <row r="30" spans="1:15" x14ac:dyDescent="0.25">
      <c r="A30" t="s">
        <v>378</v>
      </c>
      <c r="B30" t="s">
        <v>34</v>
      </c>
      <c r="C30" t="s">
        <v>661</v>
      </c>
      <c r="D30">
        <v>2022</v>
      </c>
      <c r="E30" t="s">
        <v>665</v>
      </c>
      <c r="F30" t="s">
        <v>662</v>
      </c>
      <c r="I30" s="10">
        <v>45352</v>
      </c>
      <c r="M30" t="s">
        <v>664</v>
      </c>
      <c r="N30" t="s">
        <v>663</v>
      </c>
      <c r="O30" t="s">
        <v>666</v>
      </c>
    </row>
    <row r="31" spans="1:15" x14ac:dyDescent="0.25">
      <c r="A31" t="s">
        <v>378</v>
      </c>
      <c r="B31" t="s">
        <v>34</v>
      </c>
      <c r="C31" t="s">
        <v>667</v>
      </c>
      <c r="D31">
        <v>2021</v>
      </c>
      <c r="E31" t="s">
        <v>672</v>
      </c>
      <c r="F31" t="s">
        <v>668</v>
      </c>
      <c r="I31" t="s">
        <v>669</v>
      </c>
      <c r="M31" t="s">
        <v>671</v>
      </c>
      <c r="N31" t="s">
        <v>670</v>
      </c>
      <c r="O31" t="s">
        <v>673</v>
      </c>
    </row>
    <row r="32" spans="1:15" x14ac:dyDescent="0.25">
      <c r="A32" t="s">
        <v>378</v>
      </c>
      <c r="B32" t="s">
        <v>34</v>
      </c>
      <c r="C32" t="s">
        <v>674</v>
      </c>
      <c r="D32">
        <v>2023</v>
      </c>
      <c r="E32" t="s">
        <v>679</v>
      </c>
      <c r="F32" t="s">
        <v>675</v>
      </c>
      <c r="I32" t="s">
        <v>676</v>
      </c>
      <c r="M32" t="s">
        <v>678</v>
      </c>
      <c r="N32" t="s">
        <v>677</v>
      </c>
      <c r="O32" t="s">
        <v>680</v>
      </c>
    </row>
    <row r="33" spans="1:15" x14ac:dyDescent="0.25">
      <c r="A33" t="s">
        <v>378</v>
      </c>
      <c r="B33" t="s">
        <v>34</v>
      </c>
      <c r="C33" t="s">
        <v>681</v>
      </c>
      <c r="D33">
        <v>2023</v>
      </c>
      <c r="E33" t="s">
        <v>684</v>
      </c>
      <c r="F33" t="s">
        <v>380</v>
      </c>
      <c r="I33" s="10">
        <v>45413</v>
      </c>
      <c r="M33" t="s">
        <v>683</v>
      </c>
      <c r="N33" t="s">
        <v>682</v>
      </c>
      <c r="O33" t="s">
        <v>685</v>
      </c>
    </row>
    <row r="34" spans="1:15" x14ac:dyDescent="0.25">
      <c r="A34" t="s">
        <v>378</v>
      </c>
      <c r="B34" t="s">
        <v>34</v>
      </c>
      <c r="C34" t="s">
        <v>686</v>
      </c>
      <c r="D34">
        <v>2022</v>
      </c>
      <c r="E34" t="s">
        <v>690</v>
      </c>
      <c r="F34" t="s">
        <v>687</v>
      </c>
      <c r="I34" s="10">
        <v>45444</v>
      </c>
      <c r="M34" t="s">
        <v>689</v>
      </c>
      <c r="N34" t="s">
        <v>688</v>
      </c>
      <c r="O34" t="s">
        <v>691</v>
      </c>
    </row>
    <row r="35" spans="1:15" x14ac:dyDescent="0.25">
      <c r="A35" t="s">
        <v>378</v>
      </c>
      <c r="B35" t="s">
        <v>14</v>
      </c>
      <c r="C35" t="s">
        <v>692</v>
      </c>
      <c r="D35">
        <v>2022</v>
      </c>
      <c r="E35" t="s">
        <v>696</v>
      </c>
      <c r="F35" t="s">
        <v>403</v>
      </c>
      <c r="G35">
        <v>41</v>
      </c>
      <c r="H35">
        <v>9</v>
      </c>
      <c r="I35" t="s">
        <v>693</v>
      </c>
      <c r="M35" t="s">
        <v>695</v>
      </c>
      <c r="N35" t="s">
        <v>694</v>
      </c>
      <c r="O35" t="s">
        <v>697</v>
      </c>
    </row>
    <row r="36" spans="1:15" x14ac:dyDescent="0.25">
      <c r="A36" t="s">
        <v>378</v>
      </c>
      <c r="B36" t="s">
        <v>34</v>
      </c>
      <c r="C36" t="s">
        <v>698</v>
      </c>
      <c r="D36">
        <v>2023</v>
      </c>
      <c r="E36" t="s">
        <v>703</v>
      </c>
      <c r="F36" t="s">
        <v>699</v>
      </c>
      <c r="I36" t="s">
        <v>700</v>
      </c>
      <c r="M36" t="s">
        <v>702</v>
      </c>
      <c r="N36" t="s">
        <v>701</v>
      </c>
      <c r="O36" t="s">
        <v>704</v>
      </c>
    </row>
    <row r="37" spans="1:15" x14ac:dyDescent="0.25">
      <c r="A37" t="s">
        <v>378</v>
      </c>
      <c r="B37" t="s">
        <v>34</v>
      </c>
      <c r="C37" t="s">
        <v>705</v>
      </c>
      <c r="D37">
        <v>2023</v>
      </c>
      <c r="E37" t="s">
        <v>710</v>
      </c>
      <c r="F37" t="s">
        <v>706</v>
      </c>
      <c r="I37" t="s">
        <v>707</v>
      </c>
      <c r="M37" t="s">
        <v>709</v>
      </c>
      <c r="N37" t="s">
        <v>708</v>
      </c>
      <c r="O37" t="s">
        <v>711</v>
      </c>
    </row>
    <row r="38" spans="1:15" x14ac:dyDescent="0.25">
      <c r="A38" t="s">
        <v>378</v>
      </c>
      <c r="B38" t="s">
        <v>34</v>
      </c>
      <c r="C38" t="s">
        <v>174</v>
      </c>
      <c r="D38">
        <v>2022</v>
      </c>
      <c r="E38" t="s">
        <v>175</v>
      </c>
      <c r="F38" t="s">
        <v>176</v>
      </c>
      <c r="I38" t="s">
        <v>712</v>
      </c>
      <c r="M38" t="s">
        <v>178</v>
      </c>
      <c r="N38" t="s">
        <v>713</v>
      </c>
      <c r="O38" t="s">
        <v>714</v>
      </c>
    </row>
    <row r="39" spans="1:15" x14ac:dyDescent="0.25">
      <c r="A39" t="s">
        <v>378</v>
      </c>
      <c r="B39" t="s">
        <v>14</v>
      </c>
      <c r="C39" t="s">
        <v>715</v>
      </c>
      <c r="D39">
        <v>2024</v>
      </c>
      <c r="E39" t="s">
        <v>719</v>
      </c>
      <c r="F39" t="s">
        <v>409</v>
      </c>
      <c r="G39">
        <v>24</v>
      </c>
      <c r="H39">
        <v>1</v>
      </c>
      <c r="I39" t="s">
        <v>716</v>
      </c>
      <c r="M39" t="s">
        <v>718</v>
      </c>
      <c r="N39" t="s">
        <v>717</v>
      </c>
      <c r="O39" t="s">
        <v>720</v>
      </c>
    </row>
    <row r="40" spans="1:15" x14ac:dyDescent="0.25">
      <c r="A40" t="s">
        <v>378</v>
      </c>
      <c r="B40" t="s">
        <v>34</v>
      </c>
      <c r="C40" t="s">
        <v>404</v>
      </c>
      <c r="D40">
        <v>2022</v>
      </c>
      <c r="E40" t="s">
        <v>405</v>
      </c>
      <c r="F40" t="s">
        <v>402</v>
      </c>
      <c r="I40" s="10">
        <v>45474</v>
      </c>
      <c r="M40" t="s">
        <v>406</v>
      </c>
      <c r="N40" t="s">
        <v>721</v>
      </c>
      <c r="O40" t="s">
        <v>407</v>
      </c>
    </row>
    <row r="41" spans="1:15" x14ac:dyDescent="0.25">
      <c r="A41" t="s">
        <v>378</v>
      </c>
      <c r="B41" t="s">
        <v>34</v>
      </c>
      <c r="C41" t="s">
        <v>722</v>
      </c>
      <c r="D41">
        <v>2021</v>
      </c>
      <c r="E41" t="s">
        <v>727</v>
      </c>
      <c r="F41" t="s">
        <v>723</v>
      </c>
      <c r="I41" t="s">
        <v>724</v>
      </c>
      <c r="M41" t="s">
        <v>726</v>
      </c>
      <c r="N41" t="s">
        <v>725</v>
      </c>
      <c r="O41" t="s">
        <v>728</v>
      </c>
    </row>
    <row r="42" spans="1:15" x14ac:dyDescent="0.25">
      <c r="A42" t="s">
        <v>378</v>
      </c>
      <c r="B42" t="s">
        <v>34</v>
      </c>
      <c r="C42" t="s">
        <v>187</v>
      </c>
      <c r="D42">
        <v>2023</v>
      </c>
      <c r="E42" t="s">
        <v>188</v>
      </c>
      <c r="F42" t="s">
        <v>543</v>
      </c>
      <c r="I42" s="10">
        <v>45444</v>
      </c>
      <c r="M42" t="s">
        <v>190</v>
      </c>
      <c r="N42" t="s">
        <v>729</v>
      </c>
      <c r="O42" t="s">
        <v>730</v>
      </c>
    </row>
    <row r="43" spans="1:15" x14ac:dyDescent="0.25">
      <c r="A43" t="s">
        <v>378</v>
      </c>
      <c r="B43" t="s">
        <v>34</v>
      </c>
      <c r="C43" t="s">
        <v>731</v>
      </c>
      <c r="D43">
        <v>2022</v>
      </c>
      <c r="E43" t="s">
        <v>734</v>
      </c>
      <c r="F43" t="s">
        <v>381</v>
      </c>
      <c r="I43" s="10">
        <v>45413</v>
      </c>
      <c r="M43" t="s">
        <v>733</v>
      </c>
      <c r="N43" t="s">
        <v>732</v>
      </c>
      <c r="O43" t="s">
        <v>735</v>
      </c>
    </row>
    <row r="44" spans="1:15" x14ac:dyDescent="0.25">
      <c r="A44" t="s">
        <v>378</v>
      </c>
      <c r="B44" t="s">
        <v>34</v>
      </c>
      <c r="C44" t="s">
        <v>736</v>
      </c>
      <c r="D44">
        <v>2023</v>
      </c>
      <c r="E44" t="s">
        <v>739</v>
      </c>
      <c r="F44" t="s">
        <v>299</v>
      </c>
      <c r="I44" s="10">
        <v>45444</v>
      </c>
      <c r="M44" t="s">
        <v>738</v>
      </c>
      <c r="N44" t="s">
        <v>737</v>
      </c>
      <c r="O44" t="s">
        <v>740</v>
      </c>
    </row>
    <row r="45" spans="1:15" x14ac:dyDescent="0.25">
      <c r="A45" t="s">
        <v>378</v>
      </c>
      <c r="B45" t="s">
        <v>14</v>
      </c>
      <c r="C45" t="s">
        <v>741</v>
      </c>
      <c r="D45">
        <v>2021</v>
      </c>
      <c r="E45" t="s">
        <v>746</v>
      </c>
      <c r="F45" t="s">
        <v>742</v>
      </c>
      <c r="G45">
        <v>34</v>
      </c>
      <c r="H45">
        <v>2</v>
      </c>
      <c r="I45" t="s">
        <v>743</v>
      </c>
      <c r="M45" t="s">
        <v>745</v>
      </c>
      <c r="N45" t="s">
        <v>744</v>
      </c>
      <c r="O45" t="s">
        <v>747</v>
      </c>
    </row>
    <row r="46" spans="1:15" x14ac:dyDescent="0.25">
      <c r="A46" t="s">
        <v>378</v>
      </c>
      <c r="B46" t="s">
        <v>34</v>
      </c>
      <c r="C46" t="s">
        <v>192</v>
      </c>
      <c r="D46">
        <v>2022</v>
      </c>
      <c r="E46" t="s">
        <v>193</v>
      </c>
      <c r="F46" t="s">
        <v>194</v>
      </c>
      <c r="I46" t="s">
        <v>748</v>
      </c>
      <c r="M46" t="s">
        <v>196</v>
      </c>
      <c r="N46" t="s">
        <v>749</v>
      </c>
      <c r="O46" t="s">
        <v>750</v>
      </c>
    </row>
    <row r="47" spans="1:15" x14ac:dyDescent="0.25">
      <c r="A47" t="s">
        <v>378</v>
      </c>
      <c r="B47" t="s">
        <v>34</v>
      </c>
      <c r="C47" t="s">
        <v>751</v>
      </c>
      <c r="D47">
        <v>2022</v>
      </c>
      <c r="E47" t="s">
        <v>756</v>
      </c>
      <c r="F47" t="s">
        <v>752</v>
      </c>
      <c r="I47" t="s">
        <v>753</v>
      </c>
      <c r="M47" t="s">
        <v>755</v>
      </c>
      <c r="N47" t="s">
        <v>754</v>
      </c>
      <c r="O47" t="s">
        <v>757</v>
      </c>
    </row>
    <row r="48" spans="1:15" x14ac:dyDescent="0.25">
      <c r="A48" t="s">
        <v>378</v>
      </c>
      <c r="B48" t="s">
        <v>34</v>
      </c>
      <c r="C48" t="s">
        <v>758</v>
      </c>
      <c r="D48">
        <v>2021</v>
      </c>
      <c r="E48" t="s">
        <v>237</v>
      </c>
      <c r="F48" t="s">
        <v>759</v>
      </c>
      <c r="I48" s="10">
        <v>45505</v>
      </c>
      <c r="M48" t="s">
        <v>239</v>
      </c>
      <c r="N48" t="s">
        <v>760</v>
      </c>
      <c r="O48" t="s">
        <v>761</v>
      </c>
    </row>
    <row r="49" spans="1:15" x14ac:dyDescent="0.25">
      <c r="A49" t="s">
        <v>378</v>
      </c>
      <c r="B49" t="s">
        <v>34</v>
      </c>
      <c r="C49" t="s">
        <v>243</v>
      </c>
      <c r="D49">
        <v>2021</v>
      </c>
      <c r="E49" t="s">
        <v>244</v>
      </c>
      <c r="F49" t="s">
        <v>245</v>
      </c>
      <c r="I49" t="s">
        <v>762</v>
      </c>
      <c r="M49" t="s">
        <v>247</v>
      </c>
      <c r="N49" t="s">
        <v>763</v>
      </c>
      <c r="O49" t="s">
        <v>764</v>
      </c>
    </row>
    <row r="50" spans="1:15" x14ac:dyDescent="0.25">
      <c r="A50" t="s">
        <v>378</v>
      </c>
      <c r="B50" t="s">
        <v>34</v>
      </c>
      <c r="C50" t="s">
        <v>259</v>
      </c>
      <c r="D50">
        <v>2023</v>
      </c>
      <c r="E50" t="s">
        <v>260</v>
      </c>
      <c r="F50" t="s">
        <v>261</v>
      </c>
      <c r="I50" s="10">
        <v>45444</v>
      </c>
      <c r="M50" t="s">
        <v>263</v>
      </c>
      <c r="N50" t="s">
        <v>765</v>
      </c>
      <c r="O50" t="s">
        <v>766</v>
      </c>
    </row>
    <row r="51" spans="1:15" x14ac:dyDescent="0.25">
      <c r="A51" t="s">
        <v>378</v>
      </c>
      <c r="B51" t="s">
        <v>34</v>
      </c>
      <c r="C51" t="s">
        <v>767</v>
      </c>
      <c r="D51">
        <v>2022</v>
      </c>
      <c r="E51" t="s">
        <v>771</v>
      </c>
      <c r="F51" t="s">
        <v>768</v>
      </c>
      <c r="I51" s="10">
        <v>45444</v>
      </c>
      <c r="M51" t="s">
        <v>770</v>
      </c>
      <c r="N51" t="s">
        <v>769</v>
      </c>
      <c r="O51" t="s">
        <v>772</v>
      </c>
    </row>
    <row r="52" spans="1:15" x14ac:dyDescent="0.25">
      <c r="A52" t="s">
        <v>378</v>
      </c>
      <c r="B52" t="s">
        <v>34</v>
      </c>
      <c r="C52" t="s">
        <v>290</v>
      </c>
      <c r="D52">
        <v>2023</v>
      </c>
      <c r="E52" t="s">
        <v>291</v>
      </c>
      <c r="F52" t="s">
        <v>292</v>
      </c>
      <c r="I52" s="10">
        <v>45474</v>
      </c>
      <c r="M52" t="s">
        <v>294</v>
      </c>
      <c r="N52" t="s">
        <v>773</v>
      </c>
      <c r="O52" t="s">
        <v>774</v>
      </c>
    </row>
    <row r="53" spans="1:15" x14ac:dyDescent="0.25">
      <c r="A53" t="s">
        <v>378</v>
      </c>
      <c r="B53" t="s">
        <v>34</v>
      </c>
      <c r="C53" t="s">
        <v>297</v>
      </c>
      <c r="D53">
        <v>2023</v>
      </c>
      <c r="E53" t="s">
        <v>298</v>
      </c>
      <c r="F53" t="s">
        <v>299</v>
      </c>
      <c r="I53" s="10">
        <v>45444</v>
      </c>
      <c r="M53" t="s">
        <v>301</v>
      </c>
      <c r="N53" t="s">
        <v>775</v>
      </c>
      <c r="O53" t="s">
        <v>776</v>
      </c>
    </row>
    <row r="54" spans="1:15" x14ac:dyDescent="0.25">
      <c r="A54" t="s">
        <v>378</v>
      </c>
      <c r="B54" t="s">
        <v>34</v>
      </c>
      <c r="C54" t="s">
        <v>777</v>
      </c>
      <c r="D54">
        <v>2023</v>
      </c>
      <c r="E54" t="s">
        <v>782</v>
      </c>
      <c r="F54" t="s">
        <v>778</v>
      </c>
      <c r="I54" t="s">
        <v>779</v>
      </c>
      <c r="M54" t="s">
        <v>781</v>
      </c>
      <c r="N54" t="s">
        <v>780</v>
      </c>
      <c r="O54" t="s">
        <v>783</v>
      </c>
    </row>
    <row r="55" spans="1:15" x14ac:dyDescent="0.25">
      <c r="A55" t="s">
        <v>378</v>
      </c>
      <c r="B55" t="s">
        <v>34</v>
      </c>
      <c r="C55" t="s">
        <v>784</v>
      </c>
      <c r="D55">
        <v>2021</v>
      </c>
      <c r="E55" t="s">
        <v>788</v>
      </c>
      <c r="F55" t="s">
        <v>785</v>
      </c>
      <c r="I55" s="10">
        <v>45474</v>
      </c>
      <c r="M55" t="s">
        <v>787</v>
      </c>
      <c r="N55" t="s">
        <v>786</v>
      </c>
      <c r="O55" t="s">
        <v>789</v>
      </c>
    </row>
    <row r="56" spans="1:15" x14ac:dyDescent="0.25">
      <c r="A56" t="s">
        <v>378</v>
      </c>
      <c r="B56" t="s">
        <v>34</v>
      </c>
      <c r="C56" t="s">
        <v>790</v>
      </c>
      <c r="D56">
        <v>2023</v>
      </c>
      <c r="E56" t="s">
        <v>794</v>
      </c>
      <c r="F56" t="s">
        <v>791</v>
      </c>
      <c r="I56" s="10">
        <v>45413</v>
      </c>
      <c r="M56" t="s">
        <v>793</v>
      </c>
      <c r="N56" t="s">
        <v>792</v>
      </c>
      <c r="O56" t="s">
        <v>795</v>
      </c>
    </row>
    <row r="57" spans="1:15" x14ac:dyDescent="0.25">
      <c r="A57" t="s">
        <v>378</v>
      </c>
      <c r="B57" t="s">
        <v>34</v>
      </c>
      <c r="C57" t="s">
        <v>318</v>
      </c>
      <c r="D57">
        <v>2020</v>
      </c>
      <c r="E57" t="s">
        <v>313</v>
      </c>
      <c r="F57" t="s">
        <v>796</v>
      </c>
      <c r="I57" t="s">
        <v>797</v>
      </c>
      <c r="M57" t="s">
        <v>315</v>
      </c>
      <c r="N57" t="s">
        <v>798</v>
      </c>
      <c r="O57" t="s">
        <v>799</v>
      </c>
    </row>
    <row r="58" spans="1:15" x14ac:dyDescent="0.25">
      <c r="A58" t="s">
        <v>378</v>
      </c>
      <c r="B58" t="s">
        <v>34</v>
      </c>
      <c r="C58" t="s">
        <v>800</v>
      </c>
      <c r="D58">
        <v>2022</v>
      </c>
      <c r="E58" t="s">
        <v>805</v>
      </c>
      <c r="F58" t="s">
        <v>801</v>
      </c>
      <c r="I58" t="s">
        <v>802</v>
      </c>
      <c r="M58" t="s">
        <v>804</v>
      </c>
      <c r="N58" t="s">
        <v>803</v>
      </c>
      <c r="O58" t="s">
        <v>806</v>
      </c>
    </row>
    <row r="59" spans="1:15" x14ac:dyDescent="0.25">
      <c r="A59" t="s">
        <v>378</v>
      </c>
      <c r="B59" t="s">
        <v>34</v>
      </c>
      <c r="C59" t="s">
        <v>807</v>
      </c>
      <c r="D59">
        <v>2022</v>
      </c>
      <c r="E59" t="s">
        <v>811</v>
      </c>
      <c r="F59" t="s">
        <v>808</v>
      </c>
      <c r="I59" s="10">
        <v>45383</v>
      </c>
      <c r="M59" t="s">
        <v>810</v>
      </c>
      <c r="N59" t="s">
        <v>809</v>
      </c>
      <c r="O59" t="s">
        <v>812</v>
      </c>
    </row>
    <row r="60" spans="1:15" x14ac:dyDescent="0.25">
      <c r="A60" t="s">
        <v>378</v>
      </c>
      <c r="B60" t="s">
        <v>34</v>
      </c>
      <c r="C60" t="s">
        <v>813</v>
      </c>
      <c r="D60">
        <v>2022</v>
      </c>
      <c r="E60" t="s">
        <v>816</v>
      </c>
      <c r="F60" t="s">
        <v>410</v>
      </c>
      <c r="I60" s="10">
        <v>45444</v>
      </c>
      <c r="M60" t="s">
        <v>815</v>
      </c>
      <c r="N60" t="s">
        <v>814</v>
      </c>
      <c r="O60" t="s">
        <v>817</v>
      </c>
    </row>
    <row r="61" spans="1:15" x14ac:dyDescent="0.25">
      <c r="A61" t="s">
        <v>378</v>
      </c>
      <c r="B61" t="s">
        <v>34</v>
      </c>
      <c r="C61" t="s">
        <v>818</v>
      </c>
      <c r="D61">
        <v>2022</v>
      </c>
      <c r="E61" t="s">
        <v>822</v>
      </c>
      <c r="F61" t="s">
        <v>176</v>
      </c>
      <c r="I61" t="s">
        <v>819</v>
      </c>
      <c r="M61" t="s">
        <v>821</v>
      </c>
      <c r="N61" t="s">
        <v>820</v>
      </c>
      <c r="O61" t="s">
        <v>823</v>
      </c>
    </row>
    <row r="62" spans="1:15" x14ac:dyDescent="0.25">
      <c r="A62" t="s">
        <v>378</v>
      </c>
      <c r="B62" t="s">
        <v>34</v>
      </c>
      <c r="C62" t="s">
        <v>824</v>
      </c>
      <c r="D62">
        <v>2023</v>
      </c>
      <c r="E62" t="s">
        <v>828</v>
      </c>
      <c r="F62" t="s">
        <v>675</v>
      </c>
      <c r="I62" t="s">
        <v>825</v>
      </c>
      <c r="M62" t="s">
        <v>827</v>
      </c>
      <c r="N62" t="s">
        <v>826</v>
      </c>
      <c r="O62" t="s">
        <v>829</v>
      </c>
    </row>
    <row r="63" spans="1:15" x14ac:dyDescent="0.25">
      <c r="A63" t="s">
        <v>378</v>
      </c>
      <c r="B63" t="s">
        <v>34</v>
      </c>
      <c r="C63" t="s">
        <v>412</v>
      </c>
      <c r="D63">
        <v>2022</v>
      </c>
      <c r="E63" t="s">
        <v>413</v>
      </c>
      <c r="F63" t="s">
        <v>414</v>
      </c>
      <c r="I63" t="s">
        <v>415</v>
      </c>
      <c r="M63" t="s">
        <v>416</v>
      </c>
      <c r="N63" t="s">
        <v>830</v>
      </c>
      <c r="O63" t="s">
        <v>417</v>
      </c>
    </row>
    <row r="64" spans="1:15" x14ac:dyDescent="0.25">
      <c r="A64" t="s">
        <v>378</v>
      </c>
      <c r="B64" t="s">
        <v>14</v>
      </c>
      <c r="C64" t="s">
        <v>418</v>
      </c>
      <c r="D64">
        <v>2022</v>
      </c>
      <c r="E64" t="s">
        <v>419</v>
      </c>
      <c r="F64" t="s">
        <v>400</v>
      </c>
      <c r="G64">
        <v>71</v>
      </c>
      <c r="I64" s="10">
        <v>45627</v>
      </c>
      <c r="M64" t="s">
        <v>420</v>
      </c>
      <c r="N64" t="s">
        <v>831</v>
      </c>
      <c r="O64" t="s">
        <v>421</v>
      </c>
    </row>
    <row r="65" spans="1:15" x14ac:dyDescent="0.25">
      <c r="A65" t="s">
        <v>378</v>
      </c>
      <c r="B65" t="s">
        <v>34</v>
      </c>
      <c r="C65" t="s">
        <v>832</v>
      </c>
      <c r="D65">
        <v>2022</v>
      </c>
      <c r="E65" t="s">
        <v>836</v>
      </c>
      <c r="F65" t="s">
        <v>833</v>
      </c>
      <c r="I65" s="10">
        <v>45444</v>
      </c>
      <c r="M65" t="s">
        <v>835</v>
      </c>
      <c r="N65" t="s">
        <v>834</v>
      </c>
      <c r="O65" t="s">
        <v>837</v>
      </c>
    </row>
    <row r="66" spans="1:15" x14ac:dyDescent="0.25">
      <c r="A66" t="s">
        <v>378</v>
      </c>
      <c r="B66" t="s">
        <v>14</v>
      </c>
      <c r="C66" t="s">
        <v>838</v>
      </c>
      <c r="D66">
        <v>2022</v>
      </c>
      <c r="E66" t="s">
        <v>843</v>
      </c>
      <c r="F66" t="s">
        <v>839</v>
      </c>
      <c r="G66">
        <v>15</v>
      </c>
      <c r="I66" t="s">
        <v>840</v>
      </c>
      <c r="M66" t="s">
        <v>842</v>
      </c>
      <c r="N66" t="s">
        <v>841</v>
      </c>
      <c r="O66" t="s">
        <v>844</v>
      </c>
    </row>
    <row r="67" spans="1:15" x14ac:dyDescent="0.25">
      <c r="A67" t="s">
        <v>378</v>
      </c>
      <c r="B67" t="s">
        <v>34</v>
      </c>
      <c r="C67" t="s">
        <v>845</v>
      </c>
      <c r="D67">
        <v>2022</v>
      </c>
      <c r="E67" t="s">
        <v>849</v>
      </c>
      <c r="F67" t="s">
        <v>401</v>
      </c>
      <c r="I67" t="s">
        <v>846</v>
      </c>
      <c r="M67" t="s">
        <v>848</v>
      </c>
      <c r="N67" t="s">
        <v>847</v>
      </c>
      <c r="O67" t="s">
        <v>850</v>
      </c>
    </row>
    <row r="68" spans="1:15" x14ac:dyDescent="0.25">
      <c r="A68" t="s">
        <v>378</v>
      </c>
      <c r="B68" t="s">
        <v>34</v>
      </c>
      <c r="C68" t="s">
        <v>851</v>
      </c>
      <c r="D68">
        <v>2023</v>
      </c>
      <c r="E68" t="s">
        <v>855</v>
      </c>
      <c r="F68" t="s">
        <v>852</v>
      </c>
      <c r="I68" s="10">
        <v>45505</v>
      </c>
      <c r="M68" t="s">
        <v>854</v>
      </c>
      <c r="N68" t="s">
        <v>853</v>
      </c>
      <c r="O68" t="s">
        <v>856</v>
      </c>
    </row>
    <row r="69" spans="1:15" x14ac:dyDescent="0.25">
      <c r="A69" t="s">
        <v>378</v>
      </c>
      <c r="B69" t="s">
        <v>34</v>
      </c>
      <c r="C69" t="s">
        <v>857</v>
      </c>
      <c r="D69">
        <v>2023</v>
      </c>
      <c r="E69" t="s">
        <v>862</v>
      </c>
      <c r="F69" t="s">
        <v>858</v>
      </c>
      <c r="I69" t="s">
        <v>859</v>
      </c>
      <c r="M69" t="s">
        <v>861</v>
      </c>
      <c r="N69" t="s">
        <v>860</v>
      </c>
      <c r="O69" t="s">
        <v>863</v>
      </c>
    </row>
    <row r="70" spans="1:15" x14ac:dyDescent="0.25">
      <c r="A70" t="s">
        <v>378</v>
      </c>
      <c r="B70" t="s">
        <v>34</v>
      </c>
      <c r="C70" t="s">
        <v>864</v>
      </c>
      <c r="D70">
        <v>2023</v>
      </c>
      <c r="E70" t="s">
        <v>869</v>
      </c>
      <c r="F70" t="s">
        <v>865</v>
      </c>
      <c r="I70" t="s">
        <v>866</v>
      </c>
      <c r="M70" t="s">
        <v>868</v>
      </c>
      <c r="N70" t="s">
        <v>867</v>
      </c>
      <c r="O70" t="s">
        <v>870</v>
      </c>
    </row>
    <row r="71" spans="1:15" x14ac:dyDescent="0.25">
      <c r="A71" t="s">
        <v>378</v>
      </c>
      <c r="B71" t="s">
        <v>34</v>
      </c>
      <c r="C71" t="s">
        <v>871</v>
      </c>
      <c r="D71">
        <v>2023</v>
      </c>
      <c r="E71" t="s">
        <v>876</v>
      </c>
      <c r="F71" t="s">
        <v>872</v>
      </c>
      <c r="I71" t="s">
        <v>873</v>
      </c>
      <c r="M71" t="s">
        <v>875</v>
      </c>
      <c r="N71" t="s">
        <v>874</v>
      </c>
      <c r="O71" t="s">
        <v>877</v>
      </c>
    </row>
    <row r="72" spans="1:15" x14ac:dyDescent="0.25">
      <c r="A72" t="s">
        <v>378</v>
      </c>
      <c r="B72" t="s">
        <v>14</v>
      </c>
      <c r="C72" t="s">
        <v>354</v>
      </c>
      <c r="D72">
        <v>2023</v>
      </c>
      <c r="E72" t="s">
        <v>355</v>
      </c>
      <c r="F72" t="s">
        <v>379</v>
      </c>
      <c r="G72">
        <v>11</v>
      </c>
      <c r="I72" t="s">
        <v>423</v>
      </c>
      <c r="M72" t="s">
        <v>356</v>
      </c>
      <c r="N72" t="s">
        <v>878</v>
      </c>
      <c r="O72" t="s">
        <v>424</v>
      </c>
    </row>
    <row r="73" spans="1:15" x14ac:dyDescent="0.25">
      <c r="A73" t="s">
        <v>378</v>
      </c>
      <c r="B73" t="s">
        <v>34</v>
      </c>
      <c r="C73" t="s">
        <v>879</v>
      </c>
      <c r="D73">
        <v>2023</v>
      </c>
      <c r="E73" t="s">
        <v>884</v>
      </c>
      <c r="F73" t="s">
        <v>880</v>
      </c>
      <c r="I73" t="s">
        <v>881</v>
      </c>
      <c r="M73" t="s">
        <v>883</v>
      </c>
      <c r="N73" t="s">
        <v>882</v>
      </c>
      <c r="O73" t="s">
        <v>885</v>
      </c>
    </row>
    <row r="74" spans="1:15" x14ac:dyDescent="0.25">
      <c r="A74" t="s">
        <v>378</v>
      </c>
      <c r="B74" t="s">
        <v>34</v>
      </c>
      <c r="C74" t="s">
        <v>886</v>
      </c>
      <c r="D74">
        <v>2023</v>
      </c>
      <c r="E74" t="s">
        <v>890</v>
      </c>
      <c r="F74" t="s">
        <v>675</v>
      </c>
      <c r="I74" t="s">
        <v>887</v>
      </c>
      <c r="M74" t="s">
        <v>889</v>
      </c>
      <c r="N74" t="s">
        <v>888</v>
      </c>
      <c r="O74" t="s">
        <v>891</v>
      </c>
    </row>
    <row r="75" spans="1:15" x14ac:dyDescent="0.25">
      <c r="A75" t="s">
        <v>378</v>
      </c>
      <c r="B75" t="s">
        <v>34</v>
      </c>
      <c r="C75" t="s">
        <v>892</v>
      </c>
      <c r="D75">
        <v>2022</v>
      </c>
      <c r="E75" t="s">
        <v>896</v>
      </c>
      <c r="F75" t="s">
        <v>176</v>
      </c>
      <c r="I75" t="s">
        <v>893</v>
      </c>
      <c r="M75" t="s">
        <v>895</v>
      </c>
      <c r="N75" t="s">
        <v>894</v>
      </c>
      <c r="O75" t="s">
        <v>897</v>
      </c>
    </row>
    <row r="76" spans="1:15" x14ac:dyDescent="0.25">
      <c r="A76" t="s">
        <v>378</v>
      </c>
      <c r="B76" t="s">
        <v>14</v>
      </c>
      <c r="C76" t="s">
        <v>898</v>
      </c>
      <c r="D76">
        <v>2022</v>
      </c>
      <c r="E76" t="s">
        <v>902</v>
      </c>
      <c r="F76" t="s">
        <v>899</v>
      </c>
      <c r="G76">
        <v>19</v>
      </c>
      <c r="I76" s="10">
        <v>45413</v>
      </c>
      <c r="M76" t="s">
        <v>901</v>
      </c>
      <c r="N76" t="s">
        <v>900</v>
      </c>
      <c r="O76" t="s">
        <v>903</v>
      </c>
    </row>
    <row r="77" spans="1:15" x14ac:dyDescent="0.25">
      <c r="A77" t="s">
        <v>378</v>
      </c>
      <c r="B77" t="s">
        <v>34</v>
      </c>
      <c r="C77" t="s">
        <v>904</v>
      </c>
      <c r="D77">
        <v>2023</v>
      </c>
      <c r="E77" t="s">
        <v>908</v>
      </c>
      <c r="F77" t="s">
        <v>905</v>
      </c>
      <c r="I77" s="10">
        <v>45413</v>
      </c>
      <c r="M77" t="s">
        <v>907</v>
      </c>
      <c r="N77" t="s">
        <v>906</v>
      </c>
      <c r="O77" t="s">
        <v>909</v>
      </c>
    </row>
    <row r="78" spans="1:15" x14ac:dyDescent="0.25">
      <c r="A78" t="s">
        <v>378</v>
      </c>
      <c r="B78" t="s">
        <v>34</v>
      </c>
      <c r="C78" t="s">
        <v>910</v>
      </c>
      <c r="D78">
        <v>2022</v>
      </c>
      <c r="E78" t="s">
        <v>915</v>
      </c>
      <c r="F78" t="s">
        <v>911</v>
      </c>
      <c r="I78" t="s">
        <v>912</v>
      </c>
      <c r="M78" t="s">
        <v>914</v>
      </c>
      <c r="N78" t="s">
        <v>913</v>
      </c>
      <c r="O78" t="s">
        <v>916</v>
      </c>
    </row>
    <row r="79" spans="1:15" x14ac:dyDescent="0.25">
      <c r="A79" t="s">
        <v>378</v>
      </c>
      <c r="B79" t="s">
        <v>14</v>
      </c>
      <c r="C79" t="s">
        <v>917</v>
      </c>
      <c r="D79">
        <v>2020</v>
      </c>
      <c r="E79" t="s">
        <v>921</v>
      </c>
      <c r="F79" t="s">
        <v>379</v>
      </c>
      <c r="G79">
        <v>8</v>
      </c>
      <c r="I79" t="s">
        <v>918</v>
      </c>
      <c r="M79" t="s">
        <v>920</v>
      </c>
      <c r="N79" t="s">
        <v>919</v>
      </c>
      <c r="O79" t="s">
        <v>922</v>
      </c>
    </row>
    <row r="80" spans="1:15" x14ac:dyDescent="0.25">
      <c r="A80" t="s">
        <v>371</v>
      </c>
      <c r="B80" t="s">
        <v>14</v>
      </c>
      <c r="C80" t="s">
        <v>923</v>
      </c>
      <c r="D80">
        <v>2023</v>
      </c>
      <c r="E80" t="s">
        <v>924</v>
      </c>
      <c r="F80" t="s">
        <v>375</v>
      </c>
      <c r="G80">
        <v>60</v>
      </c>
      <c r="H80">
        <v>2</v>
      </c>
      <c r="I80">
        <v>103225</v>
      </c>
      <c r="L80" t="s">
        <v>925</v>
      </c>
      <c r="M80" t="s">
        <v>926</v>
      </c>
      <c r="N80" t="s">
        <v>927</v>
      </c>
      <c r="O80" t="s">
        <v>928</v>
      </c>
    </row>
    <row r="81" spans="1:15" x14ac:dyDescent="0.25">
      <c r="A81" t="s">
        <v>371</v>
      </c>
      <c r="B81" t="s">
        <v>14</v>
      </c>
      <c r="C81" t="s">
        <v>25</v>
      </c>
      <c r="D81">
        <v>2024</v>
      </c>
      <c r="E81" t="s">
        <v>26</v>
      </c>
      <c r="F81" t="s">
        <v>27</v>
      </c>
      <c r="G81">
        <v>93</v>
      </c>
      <c r="I81">
        <v>106125</v>
      </c>
      <c r="L81" t="s">
        <v>31</v>
      </c>
      <c r="M81" t="s">
        <v>30</v>
      </c>
      <c r="N81" t="s">
        <v>929</v>
      </c>
      <c r="O81" t="s">
        <v>930</v>
      </c>
    </row>
    <row r="82" spans="1:15" x14ac:dyDescent="0.25">
      <c r="A82" t="s">
        <v>371</v>
      </c>
      <c r="B82" t="s">
        <v>14</v>
      </c>
      <c r="C82" t="s">
        <v>931</v>
      </c>
      <c r="D82">
        <v>2021</v>
      </c>
      <c r="E82" t="s">
        <v>932</v>
      </c>
      <c r="F82" t="s">
        <v>933</v>
      </c>
      <c r="G82">
        <v>91</v>
      </c>
      <c r="I82">
        <v>101939</v>
      </c>
      <c r="L82" t="s">
        <v>934</v>
      </c>
      <c r="M82" t="s">
        <v>935</v>
      </c>
      <c r="N82" t="s">
        <v>936</v>
      </c>
      <c r="O82" t="s">
        <v>937</v>
      </c>
    </row>
    <row r="83" spans="1:15" x14ac:dyDescent="0.25">
      <c r="A83" t="s">
        <v>371</v>
      </c>
      <c r="B83" t="s">
        <v>14</v>
      </c>
      <c r="C83" t="s">
        <v>938</v>
      </c>
      <c r="D83">
        <v>2021</v>
      </c>
      <c r="E83" t="s">
        <v>939</v>
      </c>
      <c r="F83" t="s">
        <v>524</v>
      </c>
      <c r="G83">
        <v>7</v>
      </c>
      <c r="H83">
        <v>6</v>
      </c>
      <c r="I83" t="s">
        <v>940</v>
      </c>
      <c r="L83" t="s">
        <v>941</v>
      </c>
      <c r="M83" t="s">
        <v>942</v>
      </c>
      <c r="N83" t="s">
        <v>943</v>
      </c>
      <c r="O83" t="s">
        <v>944</v>
      </c>
    </row>
    <row r="84" spans="1:15" x14ac:dyDescent="0.25">
      <c r="A84" t="s">
        <v>371</v>
      </c>
      <c r="B84" t="s">
        <v>14</v>
      </c>
      <c r="C84" t="s">
        <v>945</v>
      </c>
      <c r="D84">
        <v>2024</v>
      </c>
      <c r="E84" t="s">
        <v>946</v>
      </c>
      <c r="F84" t="s">
        <v>116</v>
      </c>
      <c r="G84">
        <v>170</v>
      </c>
      <c r="I84">
        <v>108029</v>
      </c>
      <c r="L84" t="s">
        <v>947</v>
      </c>
      <c r="M84" t="s">
        <v>948</v>
      </c>
      <c r="N84" t="s">
        <v>949</v>
      </c>
      <c r="O84" t="s">
        <v>950</v>
      </c>
    </row>
    <row r="85" spans="1:15" x14ac:dyDescent="0.25">
      <c r="A85" t="s">
        <v>371</v>
      </c>
      <c r="B85" t="s">
        <v>14</v>
      </c>
      <c r="C85" t="s">
        <v>951</v>
      </c>
      <c r="D85">
        <v>2021</v>
      </c>
      <c r="E85" t="s">
        <v>60</v>
      </c>
      <c r="F85" t="s">
        <v>952</v>
      </c>
      <c r="G85">
        <v>128</v>
      </c>
      <c r="H85">
        <v>1</v>
      </c>
      <c r="I85" t="s">
        <v>953</v>
      </c>
      <c r="L85" t="s">
        <v>954</v>
      </c>
      <c r="M85" t="s">
        <v>955</v>
      </c>
      <c r="O85" t="s">
        <v>956</v>
      </c>
    </row>
    <row r="86" spans="1:15" x14ac:dyDescent="0.25">
      <c r="A86" t="s">
        <v>371</v>
      </c>
      <c r="B86" t="s">
        <v>14</v>
      </c>
      <c r="C86" t="s">
        <v>957</v>
      </c>
      <c r="D86">
        <v>2023</v>
      </c>
      <c r="E86" t="s">
        <v>958</v>
      </c>
      <c r="F86" t="s">
        <v>959</v>
      </c>
      <c r="L86" t="s">
        <v>960</v>
      </c>
      <c r="M86" t="s">
        <v>961</v>
      </c>
      <c r="N86" t="s">
        <v>962</v>
      </c>
      <c r="O86" t="s">
        <v>963</v>
      </c>
    </row>
    <row r="87" spans="1:15" x14ac:dyDescent="0.25">
      <c r="A87" t="s">
        <v>371</v>
      </c>
      <c r="B87" t="s">
        <v>14</v>
      </c>
      <c r="C87" t="s">
        <v>964</v>
      </c>
      <c r="D87">
        <v>2023</v>
      </c>
      <c r="E87" t="s">
        <v>965</v>
      </c>
      <c r="F87" t="s">
        <v>966</v>
      </c>
      <c r="G87">
        <v>3</v>
      </c>
      <c r="H87">
        <v>2</v>
      </c>
      <c r="I87">
        <v>100119</v>
      </c>
      <c r="L87" t="s">
        <v>967</v>
      </c>
      <c r="M87" t="s">
        <v>968</v>
      </c>
      <c r="N87" t="s">
        <v>969</v>
      </c>
      <c r="O87" t="s">
        <v>970</v>
      </c>
    </row>
    <row r="88" spans="1:15" x14ac:dyDescent="0.25">
      <c r="A88" t="s">
        <v>371</v>
      </c>
      <c r="B88" t="s">
        <v>14</v>
      </c>
      <c r="C88" t="s">
        <v>971</v>
      </c>
      <c r="D88">
        <v>2023</v>
      </c>
      <c r="E88" t="s">
        <v>972</v>
      </c>
      <c r="F88" t="s">
        <v>373</v>
      </c>
      <c r="G88">
        <v>144</v>
      </c>
      <c r="I88">
        <v>102657</v>
      </c>
      <c r="L88" t="s">
        <v>973</v>
      </c>
      <c r="M88" t="s">
        <v>974</v>
      </c>
      <c r="N88" t="s">
        <v>975</v>
      </c>
      <c r="O88" t="s">
        <v>976</v>
      </c>
    </row>
    <row r="89" spans="1:15" x14ac:dyDescent="0.25">
      <c r="A89" t="s">
        <v>371</v>
      </c>
      <c r="B89" t="s">
        <v>14</v>
      </c>
      <c r="C89" t="s">
        <v>977</v>
      </c>
      <c r="D89">
        <v>2022</v>
      </c>
      <c r="E89" t="s">
        <v>978</v>
      </c>
      <c r="F89" t="s">
        <v>979</v>
      </c>
      <c r="G89">
        <v>199</v>
      </c>
      <c r="I89">
        <v>107199</v>
      </c>
      <c r="L89" t="s">
        <v>980</v>
      </c>
      <c r="M89" t="s">
        <v>981</v>
      </c>
      <c r="N89" t="s">
        <v>982</v>
      </c>
      <c r="O89" t="s">
        <v>983</v>
      </c>
    </row>
    <row r="90" spans="1:15" x14ac:dyDescent="0.25">
      <c r="A90" t="s">
        <v>371</v>
      </c>
      <c r="B90" t="s">
        <v>14</v>
      </c>
      <c r="C90" t="s">
        <v>984</v>
      </c>
      <c r="D90">
        <v>2022</v>
      </c>
      <c r="E90" t="s">
        <v>985</v>
      </c>
      <c r="F90" t="s">
        <v>435</v>
      </c>
      <c r="G90">
        <v>195</v>
      </c>
      <c r="I90">
        <v>116540</v>
      </c>
      <c r="L90" t="s">
        <v>986</v>
      </c>
      <c r="M90" t="s">
        <v>987</v>
      </c>
      <c r="N90" t="s">
        <v>988</v>
      </c>
      <c r="O90" t="s">
        <v>989</v>
      </c>
    </row>
    <row r="91" spans="1:15" x14ac:dyDescent="0.25">
      <c r="A91" t="s">
        <v>371</v>
      </c>
      <c r="B91" t="s">
        <v>14</v>
      </c>
      <c r="C91" t="s">
        <v>990</v>
      </c>
      <c r="D91">
        <v>2022</v>
      </c>
      <c r="E91" t="s">
        <v>991</v>
      </c>
      <c r="F91" t="s">
        <v>992</v>
      </c>
      <c r="G91">
        <v>182</v>
      </c>
      <c r="I91" s="11">
        <v>42370</v>
      </c>
      <c r="L91" t="s">
        <v>993</v>
      </c>
      <c r="M91" t="s">
        <v>994</v>
      </c>
      <c r="N91" t="s">
        <v>995</v>
      </c>
      <c r="O91" t="s">
        <v>996</v>
      </c>
    </row>
    <row r="92" spans="1:15" x14ac:dyDescent="0.25">
      <c r="A92" t="s">
        <v>371</v>
      </c>
      <c r="B92" t="s">
        <v>14</v>
      </c>
      <c r="C92" t="s">
        <v>997</v>
      </c>
      <c r="D92">
        <v>2021</v>
      </c>
      <c r="E92" t="s">
        <v>998</v>
      </c>
      <c r="F92" t="s">
        <v>999</v>
      </c>
      <c r="G92">
        <v>189</v>
      </c>
      <c r="I92" t="s">
        <v>1000</v>
      </c>
      <c r="L92" t="s">
        <v>1001</v>
      </c>
      <c r="M92" t="s">
        <v>1002</v>
      </c>
      <c r="N92" t="s">
        <v>1003</v>
      </c>
      <c r="O92" t="s">
        <v>1004</v>
      </c>
    </row>
    <row r="93" spans="1:15" x14ac:dyDescent="0.25">
      <c r="A93" t="s">
        <v>371</v>
      </c>
      <c r="B93" t="s">
        <v>14</v>
      </c>
      <c r="C93" t="s">
        <v>98</v>
      </c>
      <c r="D93">
        <v>2024</v>
      </c>
      <c r="E93" t="s">
        <v>99</v>
      </c>
      <c r="F93" t="s">
        <v>116</v>
      </c>
      <c r="G93">
        <v>170</v>
      </c>
      <c r="I93">
        <v>108012</v>
      </c>
      <c r="L93" t="s">
        <v>104</v>
      </c>
      <c r="M93" t="s">
        <v>1005</v>
      </c>
      <c r="N93" t="s">
        <v>1006</v>
      </c>
      <c r="O93" t="s">
        <v>1007</v>
      </c>
    </row>
    <row r="94" spans="1:15" x14ac:dyDescent="0.25">
      <c r="A94" t="s">
        <v>371</v>
      </c>
      <c r="B94" t="s">
        <v>14</v>
      </c>
      <c r="C94" t="s">
        <v>1008</v>
      </c>
      <c r="D94">
        <v>2023</v>
      </c>
      <c r="E94" t="s">
        <v>1009</v>
      </c>
      <c r="F94" t="s">
        <v>284</v>
      </c>
      <c r="G94">
        <v>17</v>
      </c>
      <c r="I94">
        <v>200186</v>
      </c>
      <c r="L94" t="s">
        <v>1010</v>
      </c>
      <c r="M94" t="s">
        <v>1011</v>
      </c>
      <c r="N94" t="s">
        <v>1012</v>
      </c>
      <c r="O94" t="s">
        <v>1013</v>
      </c>
    </row>
    <row r="95" spans="1:15" x14ac:dyDescent="0.25">
      <c r="A95" t="s">
        <v>371</v>
      </c>
      <c r="B95" t="s">
        <v>14</v>
      </c>
      <c r="C95" t="s">
        <v>114</v>
      </c>
      <c r="D95">
        <v>2021</v>
      </c>
      <c r="E95" t="s">
        <v>115</v>
      </c>
      <c r="F95" t="s">
        <v>116</v>
      </c>
      <c r="G95">
        <v>137</v>
      </c>
      <c r="I95">
        <v>104789</v>
      </c>
      <c r="L95" t="s">
        <v>119</v>
      </c>
      <c r="M95" t="s">
        <v>118</v>
      </c>
      <c r="N95" t="s">
        <v>1014</v>
      </c>
      <c r="O95" t="s">
        <v>1015</v>
      </c>
    </row>
    <row r="96" spans="1:15" x14ac:dyDescent="0.25">
      <c r="A96" t="s">
        <v>371</v>
      </c>
      <c r="B96" t="s">
        <v>14</v>
      </c>
      <c r="C96" t="s">
        <v>1016</v>
      </c>
      <c r="D96">
        <v>2023</v>
      </c>
      <c r="E96" t="s">
        <v>1017</v>
      </c>
      <c r="F96" t="s">
        <v>372</v>
      </c>
      <c r="G96">
        <v>240</v>
      </c>
      <c r="I96">
        <v>107718</v>
      </c>
      <c r="L96" t="s">
        <v>1018</v>
      </c>
      <c r="M96" t="s">
        <v>1019</v>
      </c>
      <c r="N96" t="s">
        <v>1020</v>
      </c>
      <c r="O96" t="s">
        <v>1021</v>
      </c>
    </row>
    <row r="97" spans="1:15" x14ac:dyDescent="0.25">
      <c r="A97" t="s">
        <v>371</v>
      </c>
      <c r="B97" t="s">
        <v>14</v>
      </c>
      <c r="C97" t="s">
        <v>1022</v>
      </c>
      <c r="D97">
        <v>2024</v>
      </c>
      <c r="E97" t="s">
        <v>1023</v>
      </c>
      <c r="F97" t="s">
        <v>1024</v>
      </c>
      <c r="G97">
        <v>200</v>
      </c>
      <c r="I97">
        <v>114204</v>
      </c>
      <c r="L97" t="s">
        <v>1025</v>
      </c>
      <c r="M97" t="s">
        <v>1026</v>
      </c>
      <c r="N97" t="s">
        <v>1027</v>
      </c>
      <c r="O97" t="s">
        <v>1028</v>
      </c>
    </row>
    <row r="98" spans="1:15" x14ac:dyDescent="0.25">
      <c r="A98" t="s">
        <v>371</v>
      </c>
      <c r="B98" t="s">
        <v>14</v>
      </c>
      <c r="C98" t="s">
        <v>1029</v>
      </c>
      <c r="D98">
        <v>2021</v>
      </c>
      <c r="E98" t="s">
        <v>1030</v>
      </c>
      <c r="F98" t="s">
        <v>511</v>
      </c>
      <c r="G98">
        <v>152</v>
      </c>
      <c r="I98" t="s">
        <v>1031</v>
      </c>
      <c r="L98" t="s">
        <v>1032</v>
      </c>
      <c r="M98" t="s">
        <v>1033</v>
      </c>
      <c r="N98" t="s">
        <v>1034</v>
      </c>
      <c r="O98" t="s">
        <v>1035</v>
      </c>
    </row>
    <row r="99" spans="1:15" x14ac:dyDescent="0.25">
      <c r="A99" t="s">
        <v>371</v>
      </c>
      <c r="B99" t="s">
        <v>130</v>
      </c>
      <c r="C99" t="s">
        <v>1036</v>
      </c>
      <c r="D99">
        <v>2023</v>
      </c>
      <c r="E99" t="s">
        <v>1037</v>
      </c>
      <c r="F99" t="s">
        <v>1038</v>
      </c>
      <c r="I99" t="s">
        <v>1039</v>
      </c>
      <c r="J99" t="s">
        <v>374</v>
      </c>
      <c r="L99" t="s">
        <v>1040</v>
      </c>
      <c r="M99" t="s">
        <v>1041</v>
      </c>
      <c r="N99" t="s">
        <v>1042</v>
      </c>
      <c r="O99" t="s">
        <v>1043</v>
      </c>
    </row>
    <row r="100" spans="1:15" x14ac:dyDescent="0.25">
      <c r="A100" t="s">
        <v>371</v>
      </c>
      <c r="B100" t="s">
        <v>14</v>
      </c>
      <c r="C100" t="s">
        <v>1044</v>
      </c>
      <c r="D100">
        <v>2024</v>
      </c>
      <c r="E100" t="s">
        <v>1045</v>
      </c>
      <c r="F100" t="s">
        <v>524</v>
      </c>
      <c r="G100">
        <v>10</v>
      </c>
      <c r="H100">
        <v>5</v>
      </c>
      <c r="I100" t="s">
        <v>1046</v>
      </c>
      <c r="L100" t="s">
        <v>1047</v>
      </c>
      <c r="M100" t="s">
        <v>1048</v>
      </c>
      <c r="N100" t="s">
        <v>1049</v>
      </c>
      <c r="O100" t="s">
        <v>1050</v>
      </c>
    </row>
    <row r="101" spans="1:15" x14ac:dyDescent="0.25">
      <c r="A101" t="s">
        <v>371</v>
      </c>
      <c r="B101" t="s">
        <v>14</v>
      </c>
      <c r="C101" t="s">
        <v>1051</v>
      </c>
      <c r="D101">
        <v>2024</v>
      </c>
      <c r="E101" t="s">
        <v>1052</v>
      </c>
      <c r="F101" t="s">
        <v>979</v>
      </c>
      <c r="G101">
        <v>218</v>
      </c>
      <c r="I101">
        <v>108668</v>
      </c>
      <c r="L101" t="s">
        <v>1053</v>
      </c>
      <c r="M101" t="s">
        <v>1054</v>
      </c>
      <c r="N101" t="s">
        <v>1055</v>
      </c>
      <c r="O101" t="s">
        <v>1056</v>
      </c>
    </row>
    <row r="102" spans="1:15" x14ac:dyDescent="0.25">
      <c r="A102" t="s">
        <v>371</v>
      </c>
      <c r="B102" t="s">
        <v>14</v>
      </c>
      <c r="C102" t="s">
        <v>1057</v>
      </c>
      <c r="D102">
        <v>2022</v>
      </c>
      <c r="E102" t="s">
        <v>1058</v>
      </c>
      <c r="F102" t="s">
        <v>372</v>
      </c>
      <c r="G102">
        <v>226</v>
      </c>
      <c r="I102">
        <v>107161</v>
      </c>
      <c r="L102" t="s">
        <v>1059</v>
      </c>
      <c r="M102" t="s">
        <v>1060</v>
      </c>
      <c r="N102" t="s">
        <v>1061</v>
      </c>
      <c r="O102" t="s">
        <v>1062</v>
      </c>
    </row>
    <row r="103" spans="1:15" x14ac:dyDescent="0.25">
      <c r="A103" t="s">
        <v>371</v>
      </c>
      <c r="B103" t="s">
        <v>14</v>
      </c>
      <c r="C103" t="s">
        <v>1063</v>
      </c>
      <c r="D103">
        <v>2022</v>
      </c>
      <c r="E103" t="s">
        <v>1064</v>
      </c>
      <c r="F103" t="s">
        <v>1065</v>
      </c>
      <c r="G103">
        <v>89</v>
      </c>
      <c r="I103" t="s">
        <v>1066</v>
      </c>
      <c r="L103" t="s">
        <v>1067</v>
      </c>
      <c r="M103" t="s">
        <v>1068</v>
      </c>
      <c r="N103" t="s">
        <v>1069</v>
      </c>
      <c r="O103" t="s">
        <v>1070</v>
      </c>
    </row>
    <row r="104" spans="1:15" x14ac:dyDescent="0.25">
      <c r="A104" t="s">
        <v>371</v>
      </c>
      <c r="B104" t="s">
        <v>14</v>
      </c>
      <c r="C104" t="s">
        <v>1071</v>
      </c>
      <c r="D104">
        <v>2023</v>
      </c>
      <c r="E104" t="s">
        <v>1072</v>
      </c>
      <c r="F104" t="s">
        <v>1073</v>
      </c>
      <c r="G104">
        <v>8</v>
      </c>
      <c r="I104">
        <v>100124</v>
      </c>
      <c r="L104" t="s">
        <v>1074</v>
      </c>
      <c r="M104" t="s">
        <v>1075</v>
      </c>
      <c r="N104" t="s">
        <v>1076</v>
      </c>
      <c r="O104" t="s">
        <v>1077</v>
      </c>
    </row>
    <row r="105" spans="1:15" x14ac:dyDescent="0.25">
      <c r="A105" t="s">
        <v>371</v>
      </c>
      <c r="B105" t="s">
        <v>14</v>
      </c>
      <c r="C105" t="s">
        <v>1078</v>
      </c>
      <c r="D105">
        <v>2023</v>
      </c>
      <c r="E105" t="s">
        <v>1079</v>
      </c>
      <c r="F105" t="s">
        <v>1080</v>
      </c>
      <c r="G105">
        <v>18</v>
      </c>
      <c r="I105">
        <v>100243</v>
      </c>
      <c r="L105" t="s">
        <v>1081</v>
      </c>
      <c r="M105" t="s">
        <v>1082</v>
      </c>
      <c r="N105" t="s">
        <v>1083</v>
      </c>
      <c r="O105" t="s">
        <v>1084</v>
      </c>
    </row>
    <row r="106" spans="1:15" x14ac:dyDescent="0.25">
      <c r="A106" t="s">
        <v>371</v>
      </c>
      <c r="B106" t="s">
        <v>14</v>
      </c>
      <c r="C106" t="s">
        <v>207</v>
      </c>
      <c r="D106">
        <v>2023</v>
      </c>
      <c r="E106" t="s">
        <v>208</v>
      </c>
      <c r="F106" t="s">
        <v>209</v>
      </c>
      <c r="G106">
        <v>218</v>
      </c>
      <c r="I106" t="s">
        <v>1085</v>
      </c>
      <c r="L106" t="s">
        <v>212</v>
      </c>
      <c r="M106" t="s">
        <v>211</v>
      </c>
      <c r="N106" t="s">
        <v>1086</v>
      </c>
      <c r="O106" t="s">
        <v>1087</v>
      </c>
    </row>
    <row r="107" spans="1:15" x14ac:dyDescent="0.25">
      <c r="A107" t="s">
        <v>371</v>
      </c>
      <c r="B107" t="s">
        <v>14</v>
      </c>
      <c r="C107" t="s">
        <v>1088</v>
      </c>
      <c r="D107">
        <v>2024</v>
      </c>
      <c r="E107" t="s">
        <v>1089</v>
      </c>
      <c r="F107" t="s">
        <v>1090</v>
      </c>
      <c r="I107">
        <v>100498</v>
      </c>
      <c r="L107" t="s">
        <v>1091</v>
      </c>
      <c r="M107" t="s">
        <v>1092</v>
      </c>
      <c r="N107" t="s">
        <v>1093</v>
      </c>
      <c r="O107" t="s">
        <v>1094</v>
      </c>
    </row>
    <row r="108" spans="1:15" x14ac:dyDescent="0.25">
      <c r="A108" t="s">
        <v>371</v>
      </c>
      <c r="B108" t="s">
        <v>14</v>
      </c>
      <c r="C108" t="s">
        <v>266</v>
      </c>
      <c r="D108">
        <v>2023</v>
      </c>
      <c r="E108" t="s">
        <v>267</v>
      </c>
      <c r="F108" t="s">
        <v>1095</v>
      </c>
      <c r="G108">
        <v>132</v>
      </c>
      <c r="I108">
        <v>107017</v>
      </c>
      <c r="L108" t="s">
        <v>272</v>
      </c>
      <c r="M108" t="s">
        <v>1096</v>
      </c>
      <c r="N108" t="s">
        <v>1097</v>
      </c>
      <c r="O108" t="s">
        <v>1098</v>
      </c>
    </row>
    <row r="109" spans="1:15" x14ac:dyDescent="0.25">
      <c r="A109" t="s">
        <v>371</v>
      </c>
      <c r="B109" t="s">
        <v>14</v>
      </c>
      <c r="C109" t="s">
        <v>282</v>
      </c>
      <c r="D109">
        <v>2022</v>
      </c>
      <c r="E109" t="s">
        <v>283</v>
      </c>
      <c r="F109" t="s">
        <v>284</v>
      </c>
      <c r="G109">
        <v>16</v>
      </c>
      <c r="I109">
        <v>200148</v>
      </c>
      <c r="L109" t="s">
        <v>287</v>
      </c>
      <c r="M109" t="s">
        <v>286</v>
      </c>
      <c r="N109" t="s">
        <v>1099</v>
      </c>
      <c r="O109" t="s">
        <v>1100</v>
      </c>
    </row>
    <row r="110" spans="1:15" x14ac:dyDescent="0.25">
      <c r="A110" t="s">
        <v>371</v>
      </c>
      <c r="B110" t="s">
        <v>14</v>
      </c>
      <c r="C110" t="s">
        <v>318</v>
      </c>
      <c r="D110">
        <v>2022</v>
      </c>
      <c r="E110" t="s">
        <v>319</v>
      </c>
      <c r="F110" t="s">
        <v>209</v>
      </c>
      <c r="G110">
        <v>200</v>
      </c>
      <c r="I110" t="s">
        <v>1101</v>
      </c>
      <c r="L110" t="s">
        <v>1102</v>
      </c>
      <c r="M110" t="s">
        <v>1103</v>
      </c>
      <c r="N110" t="s">
        <v>1104</v>
      </c>
      <c r="O110" t="s">
        <v>1105</v>
      </c>
    </row>
    <row r="111" spans="1:15" x14ac:dyDescent="0.25">
      <c r="A111" t="s">
        <v>371</v>
      </c>
      <c r="B111" t="s">
        <v>14</v>
      </c>
      <c r="C111" t="s">
        <v>336</v>
      </c>
      <c r="D111">
        <v>2023</v>
      </c>
      <c r="E111" t="s">
        <v>337</v>
      </c>
      <c r="F111" t="s">
        <v>338</v>
      </c>
      <c r="L111" t="s">
        <v>341</v>
      </c>
      <c r="M111" t="s">
        <v>340</v>
      </c>
      <c r="N111" t="s">
        <v>1106</v>
      </c>
      <c r="O111" t="s">
        <v>1107</v>
      </c>
    </row>
    <row r="112" spans="1:15" x14ac:dyDescent="0.25">
      <c r="A112" t="s">
        <v>371</v>
      </c>
      <c r="B112" t="s">
        <v>14</v>
      </c>
      <c r="C112" t="s">
        <v>1108</v>
      </c>
      <c r="D112">
        <v>2022</v>
      </c>
      <c r="E112" t="s">
        <v>1109</v>
      </c>
      <c r="F112" t="s">
        <v>27</v>
      </c>
      <c r="G112">
        <v>78</v>
      </c>
      <c r="I112">
        <v>103948</v>
      </c>
      <c r="L112" t="s">
        <v>1110</v>
      </c>
      <c r="M112" t="s">
        <v>1111</v>
      </c>
      <c r="N112" t="s">
        <v>1112</v>
      </c>
      <c r="O112" t="s">
        <v>1113</v>
      </c>
    </row>
    <row r="113" spans="1:15" x14ac:dyDescent="0.25">
      <c r="A113" t="s">
        <v>371</v>
      </c>
      <c r="B113" t="s">
        <v>14</v>
      </c>
      <c r="C113" t="s">
        <v>1114</v>
      </c>
      <c r="D113">
        <v>2023</v>
      </c>
      <c r="E113" t="s">
        <v>1115</v>
      </c>
      <c r="F113" t="s">
        <v>27</v>
      </c>
      <c r="G113">
        <v>86</v>
      </c>
      <c r="I113">
        <v>105158</v>
      </c>
      <c r="L113" t="s">
        <v>1116</v>
      </c>
      <c r="M113" t="s">
        <v>1117</v>
      </c>
      <c r="N113" t="s">
        <v>1118</v>
      </c>
      <c r="O113" t="s">
        <v>1119</v>
      </c>
    </row>
    <row r="114" spans="1:15" x14ac:dyDescent="0.25">
      <c r="A114" t="s">
        <v>371</v>
      </c>
      <c r="B114" t="s">
        <v>14</v>
      </c>
      <c r="C114" t="s">
        <v>1120</v>
      </c>
      <c r="D114">
        <v>2023</v>
      </c>
      <c r="E114" t="s">
        <v>1121</v>
      </c>
      <c r="F114" t="s">
        <v>439</v>
      </c>
      <c r="G114">
        <v>164</v>
      </c>
      <c r="I114" t="s">
        <v>1122</v>
      </c>
      <c r="L114" t="s">
        <v>1123</v>
      </c>
      <c r="M114" t="s">
        <v>1124</v>
      </c>
      <c r="N114" t="s">
        <v>1125</v>
      </c>
      <c r="O114" t="s">
        <v>1126</v>
      </c>
    </row>
    <row r="115" spans="1:15" x14ac:dyDescent="0.25">
      <c r="A115" t="s">
        <v>371</v>
      </c>
      <c r="B115" t="s">
        <v>14</v>
      </c>
      <c r="C115" t="s">
        <v>1127</v>
      </c>
      <c r="D115">
        <v>2023</v>
      </c>
      <c r="E115" t="s">
        <v>1128</v>
      </c>
      <c r="F115" t="s">
        <v>376</v>
      </c>
      <c r="G115">
        <v>126</v>
      </c>
      <c r="I115">
        <v>107079</v>
      </c>
      <c r="L115" t="s">
        <v>1129</v>
      </c>
      <c r="M115" t="s">
        <v>1130</v>
      </c>
      <c r="N115" t="s">
        <v>1131</v>
      </c>
      <c r="O115" t="s">
        <v>1132</v>
      </c>
    </row>
    <row r="116" spans="1:15" x14ac:dyDescent="0.25">
      <c r="A116" t="s">
        <v>425</v>
      </c>
      <c r="B116" t="s">
        <v>14</v>
      </c>
      <c r="C116" t="s">
        <v>1133</v>
      </c>
      <c r="D116">
        <v>2023</v>
      </c>
      <c r="E116" t="s">
        <v>1134</v>
      </c>
      <c r="F116" t="s">
        <v>1135</v>
      </c>
      <c r="G116">
        <v>13</v>
      </c>
      <c r="M116" t="s">
        <v>1136</v>
      </c>
      <c r="O116" t="s">
        <v>1137</v>
      </c>
    </row>
    <row r="117" spans="1:15" x14ac:dyDescent="0.25">
      <c r="A117" t="s">
        <v>425</v>
      </c>
      <c r="B117" t="s">
        <v>14</v>
      </c>
      <c r="C117" t="s">
        <v>426</v>
      </c>
      <c r="D117">
        <v>2023</v>
      </c>
      <c r="E117" t="s">
        <v>427</v>
      </c>
      <c r="F117" t="s">
        <v>1138</v>
      </c>
      <c r="G117">
        <v>35</v>
      </c>
      <c r="H117">
        <v>30</v>
      </c>
      <c r="I117" t="s">
        <v>428</v>
      </c>
      <c r="M117" t="s">
        <v>429</v>
      </c>
      <c r="O117" t="s">
        <v>430</v>
      </c>
    </row>
    <row r="118" spans="1:15" x14ac:dyDescent="0.25">
      <c r="A118" t="s">
        <v>425</v>
      </c>
      <c r="B118" t="s">
        <v>14</v>
      </c>
      <c r="C118" t="s">
        <v>1139</v>
      </c>
      <c r="D118">
        <v>2022</v>
      </c>
      <c r="E118" t="s">
        <v>1140</v>
      </c>
      <c r="F118" t="s">
        <v>224</v>
      </c>
      <c r="G118">
        <v>22</v>
      </c>
      <c r="H118">
        <v>12</v>
      </c>
      <c r="M118" t="s">
        <v>1141</v>
      </c>
      <c r="O118" t="s">
        <v>1142</v>
      </c>
    </row>
    <row r="119" spans="1:15" x14ac:dyDescent="0.25">
      <c r="A119" t="s">
        <v>425</v>
      </c>
      <c r="B119" t="s">
        <v>14</v>
      </c>
      <c r="C119" t="s">
        <v>1143</v>
      </c>
      <c r="D119">
        <v>2023</v>
      </c>
      <c r="E119" t="s">
        <v>455</v>
      </c>
      <c r="F119" t="s">
        <v>224</v>
      </c>
      <c r="G119">
        <v>23</v>
      </c>
      <c r="H119">
        <v>2</v>
      </c>
      <c r="M119" t="s">
        <v>458</v>
      </c>
      <c r="O119" t="s">
        <v>1144</v>
      </c>
    </row>
    <row r="120" spans="1:15" x14ac:dyDescent="0.25">
      <c r="A120" t="s">
        <v>425</v>
      </c>
      <c r="B120" t="s">
        <v>14</v>
      </c>
      <c r="C120" t="s">
        <v>923</v>
      </c>
      <c r="D120">
        <v>2023</v>
      </c>
      <c r="E120" t="s">
        <v>924</v>
      </c>
      <c r="F120" t="s">
        <v>1145</v>
      </c>
      <c r="G120">
        <v>60</v>
      </c>
      <c r="H120">
        <v>2</v>
      </c>
      <c r="M120" t="s">
        <v>1146</v>
      </c>
      <c r="O120" t="s">
        <v>1147</v>
      </c>
    </row>
    <row r="121" spans="1:15" x14ac:dyDescent="0.25">
      <c r="A121" t="s">
        <v>425</v>
      </c>
      <c r="B121" t="s">
        <v>1148</v>
      </c>
      <c r="C121" t="s">
        <v>1149</v>
      </c>
      <c r="D121">
        <v>2022</v>
      </c>
      <c r="E121" t="s">
        <v>533</v>
      </c>
      <c r="F121" t="s">
        <v>1150</v>
      </c>
      <c r="M121" t="s">
        <v>532</v>
      </c>
      <c r="O121" t="s">
        <v>1151</v>
      </c>
    </row>
    <row r="122" spans="1:15" x14ac:dyDescent="0.25">
      <c r="A122" t="s">
        <v>425</v>
      </c>
      <c r="B122" t="s">
        <v>14</v>
      </c>
      <c r="C122" t="s">
        <v>15</v>
      </c>
      <c r="D122">
        <v>2023</v>
      </c>
      <c r="E122" t="s">
        <v>16</v>
      </c>
      <c r="F122" t="s">
        <v>17</v>
      </c>
      <c r="G122">
        <v>11</v>
      </c>
      <c r="I122" t="s">
        <v>382</v>
      </c>
      <c r="M122" t="s">
        <v>19</v>
      </c>
      <c r="O122" t="s">
        <v>383</v>
      </c>
    </row>
    <row r="123" spans="1:15" x14ac:dyDescent="0.25">
      <c r="A123" t="s">
        <v>425</v>
      </c>
      <c r="B123" t="s">
        <v>14</v>
      </c>
      <c r="C123" t="s">
        <v>1152</v>
      </c>
      <c r="D123">
        <v>2023</v>
      </c>
      <c r="E123" t="s">
        <v>1153</v>
      </c>
      <c r="F123" t="s">
        <v>1154</v>
      </c>
      <c r="G123">
        <v>42</v>
      </c>
      <c r="H123">
        <v>5</v>
      </c>
      <c r="I123" t="s">
        <v>1155</v>
      </c>
      <c r="M123" t="s">
        <v>1156</v>
      </c>
      <c r="O123" t="s">
        <v>1157</v>
      </c>
    </row>
    <row r="124" spans="1:15" x14ac:dyDescent="0.25">
      <c r="A124" t="s">
        <v>425</v>
      </c>
      <c r="B124" t="s">
        <v>14</v>
      </c>
      <c r="C124" t="s">
        <v>1158</v>
      </c>
      <c r="D124">
        <v>2023</v>
      </c>
      <c r="E124" t="s">
        <v>1159</v>
      </c>
      <c r="F124" t="s">
        <v>1160</v>
      </c>
      <c r="G124">
        <v>8</v>
      </c>
      <c r="H124">
        <v>6</v>
      </c>
      <c r="I124" t="s">
        <v>1161</v>
      </c>
      <c r="M124" t="s">
        <v>1162</v>
      </c>
      <c r="O124" t="s">
        <v>1163</v>
      </c>
    </row>
    <row r="125" spans="1:15" x14ac:dyDescent="0.25">
      <c r="A125" t="s">
        <v>425</v>
      </c>
      <c r="B125" t="s">
        <v>1148</v>
      </c>
      <c r="C125" t="s">
        <v>1164</v>
      </c>
      <c r="D125">
        <v>2022</v>
      </c>
      <c r="E125" t="s">
        <v>1165</v>
      </c>
      <c r="F125" t="s">
        <v>1166</v>
      </c>
      <c r="M125" t="s">
        <v>539</v>
      </c>
      <c r="O125" t="s">
        <v>541</v>
      </c>
    </row>
    <row r="126" spans="1:15" x14ac:dyDescent="0.25">
      <c r="A126" t="s">
        <v>425</v>
      </c>
      <c r="B126" t="s">
        <v>14</v>
      </c>
      <c r="C126" t="s">
        <v>1167</v>
      </c>
      <c r="D126">
        <v>2023</v>
      </c>
      <c r="E126" t="s">
        <v>1168</v>
      </c>
      <c r="F126" t="s">
        <v>1169</v>
      </c>
      <c r="M126" t="s">
        <v>1170</v>
      </c>
      <c r="O126" t="s">
        <v>1171</v>
      </c>
    </row>
    <row r="127" spans="1:15" x14ac:dyDescent="0.25">
      <c r="A127" t="s">
        <v>425</v>
      </c>
      <c r="B127" t="s">
        <v>14</v>
      </c>
      <c r="C127" t="s">
        <v>1172</v>
      </c>
      <c r="D127">
        <v>2023</v>
      </c>
      <c r="E127" t="s">
        <v>1173</v>
      </c>
      <c r="F127" t="s">
        <v>1174</v>
      </c>
      <c r="G127">
        <v>9</v>
      </c>
      <c r="H127">
        <v>2</v>
      </c>
      <c r="M127" t="s">
        <v>1175</v>
      </c>
      <c r="O127" t="s">
        <v>1176</v>
      </c>
    </row>
    <row r="128" spans="1:15" x14ac:dyDescent="0.25">
      <c r="A128" t="s">
        <v>425</v>
      </c>
      <c r="B128" t="s">
        <v>14</v>
      </c>
      <c r="C128" t="s">
        <v>938</v>
      </c>
      <c r="D128">
        <v>2021</v>
      </c>
      <c r="E128" t="s">
        <v>939</v>
      </c>
      <c r="F128" t="s">
        <v>1177</v>
      </c>
      <c r="G128">
        <v>7</v>
      </c>
      <c r="H128">
        <v>6</v>
      </c>
      <c r="M128" t="s">
        <v>1178</v>
      </c>
      <c r="O128" t="s">
        <v>1179</v>
      </c>
    </row>
    <row r="129" spans="1:15" x14ac:dyDescent="0.25">
      <c r="A129" t="s">
        <v>425</v>
      </c>
      <c r="B129" t="s">
        <v>14</v>
      </c>
      <c r="C129" t="s">
        <v>42</v>
      </c>
      <c r="D129">
        <v>2021</v>
      </c>
      <c r="E129" t="s">
        <v>43</v>
      </c>
      <c r="F129" t="s">
        <v>44</v>
      </c>
      <c r="M129" t="s">
        <v>46</v>
      </c>
      <c r="O129" t="s">
        <v>1180</v>
      </c>
    </row>
    <row r="130" spans="1:15" x14ac:dyDescent="0.25">
      <c r="A130" t="s">
        <v>425</v>
      </c>
      <c r="B130" t="s">
        <v>1148</v>
      </c>
      <c r="C130" t="s">
        <v>1181</v>
      </c>
      <c r="D130">
        <v>2021</v>
      </c>
      <c r="E130" t="s">
        <v>1182</v>
      </c>
      <c r="F130" t="s">
        <v>1183</v>
      </c>
      <c r="G130">
        <v>12414</v>
      </c>
      <c r="I130" t="s">
        <v>1184</v>
      </c>
      <c r="M130" t="s">
        <v>1185</v>
      </c>
      <c r="O130" t="s">
        <v>1186</v>
      </c>
    </row>
    <row r="131" spans="1:15" x14ac:dyDescent="0.25">
      <c r="A131" t="s">
        <v>425</v>
      </c>
      <c r="B131" t="s">
        <v>1148</v>
      </c>
      <c r="C131" t="s">
        <v>1187</v>
      </c>
      <c r="D131">
        <v>2020</v>
      </c>
      <c r="E131" t="s">
        <v>555</v>
      </c>
      <c r="F131" t="s">
        <v>1188</v>
      </c>
      <c r="I131" t="s">
        <v>1189</v>
      </c>
      <c r="M131" t="s">
        <v>1190</v>
      </c>
      <c r="O131" t="s">
        <v>1191</v>
      </c>
    </row>
    <row r="132" spans="1:15" x14ac:dyDescent="0.25">
      <c r="A132" t="s">
        <v>425</v>
      </c>
      <c r="B132" t="s">
        <v>14</v>
      </c>
      <c r="C132" t="s">
        <v>1192</v>
      </c>
      <c r="D132">
        <v>2022</v>
      </c>
      <c r="E132" t="s">
        <v>1193</v>
      </c>
      <c r="F132" t="s">
        <v>1194</v>
      </c>
      <c r="G132">
        <v>12</v>
      </c>
      <c r="H132">
        <v>9</v>
      </c>
      <c r="M132" t="s">
        <v>1195</v>
      </c>
      <c r="O132" t="s">
        <v>1196</v>
      </c>
    </row>
    <row r="133" spans="1:15" x14ac:dyDescent="0.25">
      <c r="A133" t="s">
        <v>425</v>
      </c>
      <c r="B133" t="s">
        <v>1148</v>
      </c>
      <c r="C133" t="s">
        <v>431</v>
      </c>
      <c r="D133">
        <v>2023</v>
      </c>
      <c r="E133" t="s">
        <v>386</v>
      </c>
      <c r="F133" t="s">
        <v>1197</v>
      </c>
      <c r="I133" t="s">
        <v>388</v>
      </c>
      <c r="M133" t="s">
        <v>389</v>
      </c>
      <c r="O133" t="s">
        <v>432</v>
      </c>
    </row>
    <row r="134" spans="1:15" x14ac:dyDescent="0.25">
      <c r="A134" t="s">
        <v>425</v>
      </c>
      <c r="B134" t="s">
        <v>14</v>
      </c>
      <c r="C134" t="s">
        <v>59</v>
      </c>
      <c r="D134">
        <v>2021</v>
      </c>
      <c r="E134" t="s">
        <v>60</v>
      </c>
      <c r="F134" t="s">
        <v>61</v>
      </c>
      <c r="G134">
        <v>128</v>
      </c>
      <c r="H134">
        <v>1</v>
      </c>
      <c r="I134" t="s">
        <v>953</v>
      </c>
      <c r="M134" t="s">
        <v>63</v>
      </c>
      <c r="O134" t="s">
        <v>1198</v>
      </c>
    </row>
    <row r="135" spans="1:15" x14ac:dyDescent="0.25">
      <c r="A135" t="s">
        <v>425</v>
      </c>
      <c r="B135" t="s">
        <v>14</v>
      </c>
      <c r="C135" t="s">
        <v>1199</v>
      </c>
      <c r="D135">
        <v>2022</v>
      </c>
      <c r="E135" t="s">
        <v>66</v>
      </c>
      <c r="F135" t="s">
        <v>1200</v>
      </c>
      <c r="G135">
        <v>12</v>
      </c>
      <c r="H135">
        <v>3</v>
      </c>
      <c r="M135" t="s">
        <v>68</v>
      </c>
      <c r="O135" t="s">
        <v>1201</v>
      </c>
    </row>
    <row r="136" spans="1:15" x14ac:dyDescent="0.25">
      <c r="A136" t="s">
        <v>425</v>
      </c>
      <c r="B136" t="s">
        <v>14</v>
      </c>
      <c r="C136" t="s">
        <v>1202</v>
      </c>
      <c r="D136">
        <v>2023</v>
      </c>
      <c r="E136" t="s">
        <v>1203</v>
      </c>
      <c r="F136" t="s">
        <v>1204</v>
      </c>
      <c r="G136">
        <v>64</v>
      </c>
      <c r="H136">
        <v>8</v>
      </c>
    </row>
    <row r="137" spans="1:15" x14ac:dyDescent="0.25">
      <c r="A137" t="s">
        <v>425</v>
      </c>
      <c r="B137" t="s">
        <v>14</v>
      </c>
      <c r="C137" t="s">
        <v>1205</v>
      </c>
      <c r="D137">
        <v>2022</v>
      </c>
      <c r="E137" t="s">
        <v>1206</v>
      </c>
      <c r="F137" t="s">
        <v>148</v>
      </c>
      <c r="G137">
        <v>12</v>
      </c>
      <c r="H137">
        <v>7</v>
      </c>
      <c r="M137" t="s">
        <v>1207</v>
      </c>
      <c r="O137" t="s">
        <v>1208</v>
      </c>
    </row>
    <row r="138" spans="1:15" x14ac:dyDescent="0.25">
      <c r="A138" t="s">
        <v>425</v>
      </c>
      <c r="B138" t="s">
        <v>14</v>
      </c>
      <c r="C138" t="s">
        <v>1209</v>
      </c>
      <c r="D138">
        <v>2021</v>
      </c>
      <c r="E138" t="s">
        <v>1210</v>
      </c>
      <c r="F138" t="s">
        <v>1211</v>
      </c>
      <c r="G138">
        <v>31</v>
      </c>
      <c r="H138">
        <v>2</v>
      </c>
      <c r="I138" t="s">
        <v>1212</v>
      </c>
      <c r="M138" t="s">
        <v>1213</v>
      </c>
      <c r="O138" t="s">
        <v>1214</v>
      </c>
    </row>
    <row r="139" spans="1:15" x14ac:dyDescent="0.25">
      <c r="A139" t="s">
        <v>425</v>
      </c>
      <c r="B139" t="s">
        <v>14</v>
      </c>
      <c r="C139" t="s">
        <v>582</v>
      </c>
      <c r="D139">
        <v>2022</v>
      </c>
      <c r="E139" t="s">
        <v>586</v>
      </c>
      <c r="F139" t="s">
        <v>1215</v>
      </c>
      <c r="G139">
        <v>26</v>
      </c>
      <c r="H139">
        <v>4</v>
      </c>
      <c r="I139" t="s">
        <v>583</v>
      </c>
      <c r="M139" t="s">
        <v>585</v>
      </c>
      <c r="O139" t="s">
        <v>587</v>
      </c>
    </row>
    <row r="140" spans="1:15" x14ac:dyDescent="0.25">
      <c r="A140" t="s">
        <v>425</v>
      </c>
      <c r="B140" t="s">
        <v>14</v>
      </c>
      <c r="C140" t="s">
        <v>1216</v>
      </c>
      <c r="D140">
        <v>2024</v>
      </c>
      <c r="E140" t="s">
        <v>1217</v>
      </c>
      <c r="F140" t="s">
        <v>1138</v>
      </c>
      <c r="G140">
        <v>36</v>
      </c>
      <c r="H140">
        <v>4</v>
      </c>
      <c r="I140" t="s">
        <v>1218</v>
      </c>
      <c r="M140" t="s">
        <v>1219</v>
      </c>
      <c r="O140" t="s">
        <v>1220</v>
      </c>
    </row>
    <row r="141" spans="1:15" x14ac:dyDescent="0.25">
      <c r="A141" t="s">
        <v>425</v>
      </c>
      <c r="B141" t="s">
        <v>14</v>
      </c>
      <c r="C141" t="s">
        <v>1221</v>
      </c>
      <c r="D141">
        <v>2023</v>
      </c>
      <c r="E141" t="s">
        <v>1222</v>
      </c>
      <c r="F141" t="s">
        <v>1223</v>
      </c>
      <c r="G141">
        <v>95</v>
      </c>
      <c r="H141">
        <v>8</v>
      </c>
      <c r="M141" t="s">
        <v>1224</v>
      </c>
      <c r="O141" t="s">
        <v>1225</v>
      </c>
    </row>
    <row r="142" spans="1:15" x14ac:dyDescent="0.25">
      <c r="A142" t="s">
        <v>425</v>
      </c>
      <c r="B142" t="s">
        <v>14</v>
      </c>
      <c r="C142" t="s">
        <v>977</v>
      </c>
      <c r="D142">
        <v>2022</v>
      </c>
      <c r="E142" t="s">
        <v>978</v>
      </c>
      <c r="F142" t="s">
        <v>1226</v>
      </c>
      <c r="G142">
        <v>199</v>
      </c>
      <c r="M142" t="s">
        <v>1227</v>
      </c>
      <c r="O142" t="s">
        <v>1228</v>
      </c>
    </row>
    <row r="143" spans="1:15" x14ac:dyDescent="0.25">
      <c r="A143" t="s">
        <v>425</v>
      </c>
      <c r="B143" t="s">
        <v>14</v>
      </c>
      <c r="C143" t="s">
        <v>1229</v>
      </c>
      <c r="D143">
        <v>2022</v>
      </c>
      <c r="E143" t="s">
        <v>1230</v>
      </c>
      <c r="F143" t="s">
        <v>1231</v>
      </c>
      <c r="G143">
        <v>9</v>
      </c>
      <c r="M143" t="s">
        <v>1232</v>
      </c>
      <c r="O143" t="s">
        <v>1233</v>
      </c>
    </row>
    <row r="144" spans="1:15" x14ac:dyDescent="0.25">
      <c r="A144" t="s">
        <v>425</v>
      </c>
      <c r="B144" t="s">
        <v>14</v>
      </c>
      <c r="C144" t="s">
        <v>1234</v>
      </c>
      <c r="D144">
        <v>2021</v>
      </c>
      <c r="E144" t="s">
        <v>1235</v>
      </c>
      <c r="F144" t="s">
        <v>1236</v>
      </c>
      <c r="G144">
        <v>8</v>
      </c>
      <c r="H144">
        <v>5</v>
      </c>
      <c r="M144" t="s">
        <v>1237</v>
      </c>
      <c r="O144" t="s">
        <v>1238</v>
      </c>
    </row>
    <row r="145" spans="1:15" x14ac:dyDescent="0.25">
      <c r="A145" t="s">
        <v>425</v>
      </c>
      <c r="B145" t="s">
        <v>14</v>
      </c>
      <c r="C145" t="s">
        <v>1239</v>
      </c>
      <c r="D145">
        <v>2022</v>
      </c>
      <c r="E145" t="s">
        <v>1240</v>
      </c>
      <c r="F145" t="s">
        <v>1241</v>
      </c>
      <c r="M145" t="s">
        <v>1242</v>
      </c>
      <c r="O145" t="s">
        <v>1243</v>
      </c>
    </row>
    <row r="146" spans="1:15" x14ac:dyDescent="0.25">
      <c r="A146" t="s">
        <v>425</v>
      </c>
      <c r="B146" t="s">
        <v>14</v>
      </c>
      <c r="C146" t="s">
        <v>1244</v>
      </c>
      <c r="D146">
        <v>2022</v>
      </c>
      <c r="E146" t="s">
        <v>1245</v>
      </c>
    </row>
    <row r="147" spans="1:15" x14ac:dyDescent="0.25">
      <c r="A147" t="s">
        <v>425</v>
      </c>
      <c r="B147" t="s">
        <v>1148</v>
      </c>
      <c r="C147" t="s">
        <v>1246</v>
      </c>
      <c r="D147">
        <v>2022</v>
      </c>
      <c r="E147" t="s">
        <v>600</v>
      </c>
      <c r="F147" t="s">
        <v>1247</v>
      </c>
      <c r="I147" t="s">
        <v>597</v>
      </c>
      <c r="M147" t="s">
        <v>599</v>
      </c>
      <c r="O147" t="s">
        <v>1248</v>
      </c>
    </row>
    <row r="148" spans="1:15" x14ac:dyDescent="0.25">
      <c r="A148" t="s">
        <v>425</v>
      </c>
      <c r="B148" t="s">
        <v>14</v>
      </c>
      <c r="C148" t="s">
        <v>602</v>
      </c>
      <c r="D148">
        <v>2021</v>
      </c>
      <c r="E148" t="s">
        <v>607</v>
      </c>
      <c r="F148" t="s">
        <v>1249</v>
      </c>
      <c r="G148">
        <v>6</v>
      </c>
      <c r="H148">
        <v>2</v>
      </c>
      <c r="I148" t="s">
        <v>604</v>
      </c>
      <c r="M148" t="s">
        <v>606</v>
      </c>
      <c r="O148" t="s">
        <v>608</v>
      </c>
    </row>
    <row r="149" spans="1:15" x14ac:dyDescent="0.25">
      <c r="A149" t="s">
        <v>425</v>
      </c>
      <c r="B149" t="s">
        <v>14</v>
      </c>
      <c r="C149" t="s">
        <v>1250</v>
      </c>
      <c r="D149">
        <v>2020</v>
      </c>
      <c r="E149" t="s">
        <v>1251</v>
      </c>
      <c r="F149" t="s">
        <v>1252</v>
      </c>
      <c r="G149">
        <v>12</v>
      </c>
      <c r="H149">
        <v>19</v>
      </c>
      <c r="M149" t="s">
        <v>1253</v>
      </c>
      <c r="O149" t="s">
        <v>1254</v>
      </c>
    </row>
    <row r="150" spans="1:15" x14ac:dyDescent="0.25">
      <c r="A150" t="s">
        <v>425</v>
      </c>
      <c r="B150" t="s">
        <v>14</v>
      </c>
      <c r="C150" t="s">
        <v>1255</v>
      </c>
      <c r="D150">
        <v>2023</v>
      </c>
      <c r="E150" t="s">
        <v>1256</v>
      </c>
      <c r="F150" t="s">
        <v>1257</v>
      </c>
      <c r="G150">
        <v>12</v>
      </c>
      <c r="H150">
        <v>13</v>
      </c>
      <c r="M150" t="s">
        <v>1258</v>
      </c>
      <c r="O150" t="s">
        <v>1259</v>
      </c>
    </row>
    <row r="151" spans="1:15" x14ac:dyDescent="0.25">
      <c r="A151" t="s">
        <v>425</v>
      </c>
      <c r="B151" t="s">
        <v>14</v>
      </c>
      <c r="C151" t="s">
        <v>1260</v>
      </c>
      <c r="D151">
        <v>2022</v>
      </c>
      <c r="E151" t="s">
        <v>991</v>
      </c>
      <c r="F151" t="s">
        <v>1261</v>
      </c>
      <c r="G151">
        <v>182</v>
      </c>
      <c r="M151" t="s">
        <v>1262</v>
      </c>
      <c r="O151" t="s">
        <v>1263</v>
      </c>
    </row>
    <row r="152" spans="1:15" x14ac:dyDescent="0.25">
      <c r="A152" t="s">
        <v>425</v>
      </c>
      <c r="B152" t="s">
        <v>14</v>
      </c>
      <c r="C152" t="s">
        <v>1264</v>
      </c>
      <c r="D152">
        <v>2021</v>
      </c>
      <c r="E152" t="s">
        <v>1265</v>
      </c>
      <c r="F152" t="s">
        <v>1266</v>
      </c>
      <c r="G152">
        <v>109</v>
      </c>
      <c r="H152">
        <v>1</v>
      </c>
      <c r="I152" t="s">
        <v>1267</v>
      </c>
      <c r="M152" t="s">
        <v>1268</v>
      </c>
      <c r="O152" t="s">
        <v>1269</v>
      </c>
    </row>
    <row r="153" spans="1:15" x14ac:dyDescent="0.25">
      <c r="A153" t="s">
        <v>425</v>
      </c>
      <c r="B153" t="s">
        <v>1148</v>
      </c>
      <c r="C153" t="s">
        <v>1270</v>
      </c>
      <c r="D153">
        <v>2022</v>
      </c>
      <c r="E153" t="s">
        <v>1271</v>
      </c>
      <c r="F153" t="s">
        <v>1272</v>
      </c>
      <c r="G153">
        <v>13515</v>
      </c>
      <c r="I153" t="s">
        <v>1273</v>
      </c>
      <c r="M153" t="s">
        <v>1274</v>
      </c>
      <c r="O153" t="s">
        <v>1275</v>
      </c>
    </row>
    <row r="154" spans="1:15" x14ac:dyDescent="0.25">
      <c r="A154" t="s">
        <v>425</v>
      </c>
      <c r="B154" t="s">
        <v>14</v>
      </c>
      <c r="C154" t="s">
        <v>997</v>
      </c>
      <c r="D154">
        <v>2021</v>
      </c>
      <c r="E154" t="s">
        <v>998</v>
      </c>
      <c r="F154" t="s">
        <v>1276</v>
      </c>
      <c r="G154">
        <v>189</v>
      </c>
      <c r="I154" t="s">
        <v>1000</v>
      </c>
      <c r="M154" t="s">
        <v>1277</v>
      </c>
      <c r="O154" t="s">
        <v>1004</v>
      </c>
    </row>
    <row r="155" spans="1:15" x14ac:dyDescent="0.25">
      <c r="A155" t="s">
        <v>425</v>
      </c>
      <c r="B155" t="s">
        <v>14</v>
      </c>
      <c r="C155" t="s">
        <v>1278</v>
      </c>
      <c r="D155">
        <v>2022</v>
      </c>
      <c r="E155" t="s">
        <v>1279</v>
      </c>
      <c r="F155" t="s">
        <v>1280</v>
      </c>
      <c r="G155">
        <v>17</v>
      </c>
      <c r="H155">
        <v>7</v>
      </c>
      <c r="I155" t="s">
        <v>1281</v>
      </c>
      <c r="M155" t="s">
        <v>1282</v>
      </c>
      <c r="O155" t="s">
        <v>1283</v>
      </c>
    </row>
    <row r="156" spans="1:15" x14ac:dyDescent="0.25">
      <c r="A156" t="s">
        <v>425</v>
      </c>
      <c r="B156" t="s">
        <v>14</v>
      </c>
      <c r="C156" t="s">
        <v>1284</v>
      </c>
      <c r="D156">
        <v>2023</v>
      </c>
      <c r="E156" t="s">
        <v>1285</v>
      </c>
      <c r="F156" t="s">
        <v>1204</v>
      </c>
      <c r="G156">
        <v>64</v>
      </c>
      <c r="H156">
        <v>8</v>
      </c>
    </row>
    <row r="157" spans="1:15" x14ac:dyDescent="0.25">
      <c r="A157" t="s">
        <v>425</v>
      </c>
      <c r="B157" t="s">
        <v>1148</v>
      </c>
      <c r="C157" t="s">
        <v>1286</v>
      </c>
      <c r="D157">
        <v>2023</v>
      </c>
      <c r="E157" t="s">
        <v>613</v>
      </c>
      <c r="F157" t="s">
        <v>1287</v>
      </c>
      <c r="M157" t="s">
        <v>612</v>
      </c>
      <c r="O157" t="s">
        <v>614</v>
      </c>
    </row>
    <row r="158" spans="1:15" x14ac:dyDescent="0.25">
      <c r="A158" t="s">
        <v>425</v>
      </c>
      <c r="B158" t="s">
        <v>14</v>
      </c>
      <c r="C158" t="s">
        <v>1288</v>
      </c>
      <c r="D158">
        <v>2023</v>
      </c>
      <c r="E158" t="s">
        <v>1289</v>
      </c>
      <c r="F158" t="s">
        <v>1204</v>
      </c>
      <c r="G158">
        <v>64</v>
      </c>
      <c r="H158">
        <v>8</v>
      </c>
    </row>
    <row r="159" spans="1:15" x14ac:dyDescent="0.25">
      <c r="A159" t="s">
        <v>425</v>
      </c>
      <c r="B159" t="s">
        <v>14</v>
      </c>
      <c r="C159" t="s">
        <v>1290</v>
      </c>
      <c r="D159">
        <v>2021</v>
      </c>
      <c r="E159" t="s">
        <v>1291</v>
      </c>
      <c r="F159" t="s">
        <v>1292</v>
      </c>
      <c r="G159">
        <v>10</v>
      </c>
      <c r="H159">
        <v>5</v>
      </c>
      <c r="M159" t="s">
        <v>1293</v>
      </c>
      <c r="O159" t="s">
        <v>1294</v>
      </c>
    </row>
    <row r="160" spans="1:15" x14ac:dyDescent="0.25">
      <c r="A160" t="s">
        <v>425</v>
      </c>
      <c r="B160" t="s">
        <v>14</v>
      </c>
      <c r="C160" t="s">
        <v>98</v>
      </c>
      <c r="D160">
        <v>2024</v>
      </c>
      <c r="E160" t="s">
        <v>99</v>
      </c>
      <c r="F160" t="s">
        <v>100</v>
      </c>
      <c r="G160">
        <v>170</v>
      </c>
      <c r="M160" t="s">
        <v>102</v>
      </c>
      <c r="O160" t="s">
        <v>1295</v>
      </c>
    </row>
    <row r="161" spans="1:15" x14ac:dyDescent="0.25">
      <c r="A161" t="s">
        <v>425</v>
      </c>
      <c r="B161" t="s">
        <v>1148</v>
      </c>
      <c r="C161" t="s">
        <v>1296</v>
      </c>
      <c r="D161">
        <v>2023</v>
      </c>
      <c r="E161" t="s">
        <v>1297</v>
      </c>
      <c r="F161" t="s">
        <v>1298</v>
      </c>
      <c r="I161" t="s">
        <v>1299</v>
      </c>
      <c r="M161" t="s">
        <v>1300</v>
      </c>
      <c r="O161" t="s">
        <v>1301</v>
      </c>
    </row>
    <row r="162" spans="1:15" x14ac:dyDescent="0.25">
      <c r="A162" t="s">
        <v>425</v>
      </c>
      <c r="B162" t="s">
        <v>14</v>
      </c>
      <c r="C162" t="s">
        <v>1302</v>
      </c>
      <c r="D162">
        <v>2021</v>
      </c>
      <c r="E162" t="s">
        <v>1303</v>
      </c>
      <c r="F162" t="s">
        <v>1204</v>
      </c>
      <c r="G162">
        <v>62</v>
      </c>
      <c r="H162">
        <v>11</v>
      </c>
    </row>
    <row r="163" spans="1:15" x14ac:dyDescent="0.25">
      <c r="A163" t="s">
        <v>425</v>
      </c>
      <c r="B163" t="s">
        <v>1148</v>
      </c>
      <c r="C163" t="s">
        <v>1304</v>
      </c>
      <c r="D163">
        <v>2021</v>
      </c>
      <c r="E163" t="s">
        <v>108</v>
      </c>
      <c r="F163" t="s">
        <v>1305</v>
      </c>
      <c r="I163" t="s">
        <v>616</v>
      </c>
      <c r="M163" t="s">
        <v>110</v>
      </c>
      <c r="O163" t="s">
        <v>1306</v>
      </c>
    </row>
    <row r="164" spans="1:15" x14ac:dyDescent="0.25">
      <c r="A164" t="s">
        <v>425</v>
      </c>
      <c r="B164" t="s">
        <v>14</v>
      </c>
      <c r="C164" t="s">
        <v>122</v>
      </c>
      <c r="D164">
        <v>2021</v>
      </c>
      <c r="E164" t="s">
        <v>123</v>
      </c>
      <c r="F164" t="s">
        <v>17</v>
      </c>
      <c r="G164">
        <v>9</v>
      </c>
      <c r="I164" t="s">
        <v>392</v>
      </c>
      <c r="M164" t="s">
        <v>125</v>
      </c>
      <c r="O164" t="s">
        <v>1307</v>
      </c>
    </row>
    <row r="165" spans="1:15" x14ac:dyDescent="0.25">
      <c r="A165" t="s">
        <v>425</v>
      </c>
      <c r="B165" t="s">
        <v>14</v>
      </c>
      <c r="C165" t="s">
        <v>1308</v>
      </c>
      <c r="D165">
        <v>2022</v>
      </c>
      <c r="E165" t="s">
        <v>1309</v>
      </c>
      <c r="F165" t="s">
        <v>1310</v>
      </c>
      <c r="G165">
        <v>6</v>
      </c>
      <c r="H165">
        <v>12</v>
      </c>
      <c r="I165" t="s">
        <v>1311</v>
      </c>
      <c r="O165" t="s">
        <v>1312</v>
      </c>
    </row>
    <row r="166" spans="1:15" x14ac:dyDescent="0.25">
      <c r="A166" t="s">
        <v>425</v>
      </c>
      <c r="B166" t="s">
        <v>14</v>
      </c>
      <c r="C166" t="s">
        <v>135</v>
      </c>
      <c r="D166">
        <v>2023</v>
      </c>
      <c r="E166" t="s">
        <v>136</v>
      </c>
      <c r="F166" t="s">
        <v>137</v>
      </c>
      <c r="M166" t="s">
        <v>138</v>
      </c>
      <c r="O166" t="s">
        <v>1313</v>
      </c>
    </row>
    <row r="167" spans="1:15" x14ac:dyDescent="0.25">
      <c r="A167" t="s">
        <v>425</v>
      </c>
      <c r="B167" t="s">
        <v>14</v>
      </c>
      <c r="C167" t="s">
        <v>1314</v>
      </c>
      <c r="D167">
        <v>2021</v>
      </c>
      <c r="E167" t="s">
        <v>1315</v>
      </c>
      <c r="F167" t="s">
        <v>224</v>
      </c>
      <c r="G167">
        <v>21</v>
      </c>
      <c r="H167">
        <v>22</v>
      </c>
      <c r="M167" t="s">
        <v>1316</v>
      </c>
      <c r="O167" t="s">
        <v>1317</v>
      </c>
    </row>
    <row r="168" spans="1:15" x14ac:dyDescent="0.25">
      <c r="A168" t="s">
        <v>425</v>
      </c>
      <c r="B168" t="s">
        <v>14</v>
      </c>
      <c r="C168" t="s">
        <v>1318</v>
      </c>
      <c r="D168">
        <v>2022</v>
      </c>
      <c r="E168" t="s">
        <v>1064</v>
      </c>
      <c r="F168" t="s">
        <v>1319</v>
      </c>
      <c r="G168">
        <v>89</v>
      </c>
      <c r="I168" t="s">
        <v>1066</v>
      </c>
      <c r="M168" t="s">
        <v>1320</v>
      </c>
      <c r="O168" t="s">
        <v>1321</v>
      </c>
    </row>
    <row r="169" spans="1:15" x14ac:dyDescent="0.25">
      <c r="A169" t="s">
        <v>425</v>
      </c>
      <c r="B169" t="s">
        <v>14</v>
      </c>
      <c r="C169" t="s">
        <v>146</v>
      </c>
      <c r="D169">
        <v>2022</v>
      </c>
      <c r="E169" t="s">
        <v>147</v>
      </c>
      <c r="F169" t="s">
        <v>148</v>
      </c>
      <c r="G169">
        <v>12</v>
      </c>
      <c r="H169">
        <v>1</v>
      </c>
      <c r="M169" t="s">
        <v>150</v>
      </c>
      <c r="O169" t="s">
        <v>1322</v>
      </c>
    </row>
    <row r="170" spans="1:15" x14ac:dyDescent="0.25">
      <c r="A170" t="s">
        <v>425</v>
      </c>
      <c r="B170" t="s">
        <v>14</v>
      </c>
      <c r="C170" t="s">
        <v>1323</v>
      </c>
      <c r="D170">
        <v>2022</v>
      </c>
      <c r="E170" t="s">
        <v>1324</v>
      </c>
      <c r="F170" t="s">
        <v>1325</v>
      </c>
      <c r="G170">
        <v>16</v>
      </c>
      <c r="H170">
        <v>1</v>
      </c>
      <c r="M170" t="s">
        <v>1326</v>
      </c>
      <c r="O170" t="s">
        <v>1327</v>
      </c>
    </row>
    <row r="171" spans="1:15" x14ac:dyDescent="0.25">
      <c r="A171" t="s">
        <v>425</v>
      </c>
      <c r="B171" t="s">
        <v>1148</v>
      </c>
      <c r="C171" t="s">
        <v>1328</v>
      </c>
      <c r="D171">
        <v>2023</v>
      </c>
      <c r="E171" t="s">
        <v>1329</v>
      </c>
      <c r="F171" t="s">
        <v>1330</v>
      </c>
      <c r="G171">
        <v>14393</v>
      </c>
      <c r="I171" t="s">
        <v>1331</v>
      </c>
      <c r="M171" t="s">
        <v>1332</v>
      </c>
      <c r="O171" t="s">
        <v>1333</v>
      </c>
    </row>
    <row r="172" spans="1:15" x14ac:dyDescent="0.25">
      <c r="A172" t="s">
        <v>425</v>
      </c>
      <c r="B172" t="s">
        <v>14</v>
      </c>
      <c r="C172" t="s">
        <v>1016</v>
      </c>
      <c r="D172">
        <v>2023</v>
      </c>
      <c r="E172" t="s">
        <v>1017</v>
      </c>
      <c r="F172" t="s">
        <v>1334</v>
      </c>
      <c r="G172">
        <v>240</v>
      </c>
      <c r="M172" t="s">
        <v>1335</v>
      </c>
      <c r="O172" t="s">
        <v>1336</v>
      </c>
    </row>
    <row r="173" spans="1:15" x14ac:dyDescent="0.25">
      <c r="A173" t="s">
        <v>425</v>
      </c>
      <c r="B173" t="s">
        <v>1148</v>
      </c>
      <c r="C173" t="s">
        <v>1337</v>
      </c>
      <c r="D173">
        <v>2022</v>
      </c>
      <c r="E173" t="s">
        <v>629</v>
      </c>
      <c r="F173" t="s">
        <v>1338</v>
      </c>
      <c r="M173" t="s">
        <v>628</v>
      </c>
      <c r="O173" t="s">
        <v>630</v>
      </c>
    </row>
    <row r="174" spans="1:15" x14ac:dyDescent="0.25">
      <c r="A174" t="s">
        <v>425</v>
      </c>
      <c r="B174" t="s">
        <v>1148</v>
      </c>
      <c r="C174" t="s">
        <v>1339</v>
      </c>
      <c r="D174">
        <v>2022</v>
      </c>
      <c r="E174" t="s">
        <v>636</v>
      </c>
      <c r="F174" t="s">
        <v>1340</v>
      </c>
      <c r="I174" t="s">
        <v>633</v>
      </c>
      <c r="M174" t="s">
        <v>635</v>
      </c>
      <c r="O174" t="s">
        <v>1341</v>
      </c>
    </row>
    <row r="175" spans="1:15" x14ac:dyDescent="0.25">
      <c r="A175" t="s">
        <v>425</v>
      </c>
      <c r="B175" t="s">
        <v>1148</v>
      </c>
      <c r="C175" t="s">
        <v>1342</v>
      </c>
      <c r="D175">
        <v>2022</v>
      </c>
      <c r="E175" t="s">
        <v>1343</v>
      </c>
      <c r="F175" t="s">
        <v>1344</v>
      </c>
      <c r="G175">
        <v>13672</v>
      </c>
      <c r="I175" t="s">
        <v>1345</v>
      </c>
      <c r="M175" t="s">
        <v>1346</v>
      </c>
      <c r="O175" t="s">
        <v>1347</v>
      </c>
    </row>
    <row r="176" spans="1:15" x14ac:dyDescent="0.25">
      <c r="A176" t="s">
        <v>425</v>
      </c>
      <c r="B176" t="s">
        <v>14</v>
      </c>
      <c r="C176" t="s">
        <v>1348</v>
      </c>
      <c r="D176">
        <v>2023</v>
      </c>
      <c r="E176" t="s">
        <v>1349</v>
      </c>
      <c r="F176" t="s">
        <v>1350</v>
      </c>
      <c r="G176">
        <v>13</v>
      </c>
      <c r="H176">
        <v>1</v>
      </c>
      <c r="M176" t="s">
        <v>1351</v>
      </c>
      <c r="O176" t="s">
        <v>1352</v>
      </c>
    </row>
    <row r="177" spans="1:15" x14ac:dyDescent="0.25">
      <c r="A177" t="s">
        <v>425</v>
      </c>
      <c r="B177" t="s">
        <v>14</v>
      </c>
      <c r="C177" t="s">
        <v>645</v>
      </c>
      <c r="D177">
        <v>2023</v>
      </c>
      <c r="E177" t="s">
        <v>649</v>
      </c>
      <c r="F177" t="s">
        <v>1353</v>
      </c>
      <c r="G177">
        <v>11</v>
      </c>
      <c r="I177" t="s">
        <v>646</v>
      </c>
      <c r="M177" t="s">
        <v>648</v>
      </c>
      <c r="O177" t="s">
        <v>650</v>
      </c>
    </row>
    <row r="178" spans="1:15" x14ac:dyDescent="0.25">
      <c r="A178" t="s">
        <v>425</v>
      </c>
      <c r="B178" t="s">
        <v>14</v>
      </c>
      <c r="C178" t="s">
        <v>1354</v>
      </c>
      <c r="D178">
        <v>2024</v>
      </c>
      <c r="E178" t="s">
        <v>1355</v>
      </c>
      <c r="F178" t="s">
        <v>1356</v>
      </c>
      <c r="M178" t="s">
        <v>1357</v>
      </c>
      <c r="O178" t="s">
        <v>1358</v>
      </c>
    </row>
    <row r="179" spans="1:15" x14ac:dyDescent="0.25">
      <c r="A179" t="s">
        <v>425</v>
      </c>
      <c r="B179" t="s">
        <v>14</v>
      </c>
      <c r="C179" t="s">
        <v>156</v>
      </c>
      <c r="D179">
        <v>2022</v>
      </c>
      <c r="E179" t="s">
        <v>157</v>
      </c>
      <c r="F179" t="s">
        <v>1359</v>
      </c>
      <c r="G179">
        <v>39</v>
      </c>
      <c r="H179">
        <v>7</v>
      </c>
      <c r="M179" t="s">
        <v>159</v>
      </c>
      <c r="O179" t="s">
        <v>1360</v>
      </c>
    </row>
    <row r="180" spans="1:15" x14ac:dyDescent="0.25">
      <c r="A180" t="s">
        <v>425</v>
      </c>
      <c r="B180" t="s">
        <v>14</v>
      </c>
      <c r="C180" t="s">
        <v>1361</v>
      </c>
      <c r="D180">
        <v>2023</v>
      </c>
      <c r="E180" t="s">
        <v>1362</v>
      </c>
      <c r="F180" t="s">
        <v>137</v>
      </c>
      <c r="M180" t="s">
        <v>1363</v>
      </c>
      <c r="O180" t="s">
        <v>1364</v>
      </c>
    </row>
    <row r="181" spans="1:15" x14ac:dyDescent="0.25">
      <c r="A181" t="s">
        <v>425</v>
      </c>
      <c r="B181" t="s">
        <v>14</v>
      </c>
      <c r="C181" t="s">
        <v>1365</v>
      </c>
      <c r="D181">
        <v>2021</v>
      </c>
      <c r="E181" t="s">
        <v>1030</v>
      </c>
      <c r="F181" t="s">
        <v>1366</v>
      </c>
      <c r="G181">
        <v>152</v>
      </c>
      <c r="I181" s="10">
        <v>45474</v>
      </c>
      <c r="M181" t="s">
        <v>1367</v>
      </c>
      <c r="O181" t="s">
        <v>1368</v>
      </c>
    </row>
    <row r="182" spans="1:15" x14ac:dyDescent="0.25">
      <c r="A182" t="s">
        <v>425</v>
      </c>
      <c r="B182" t="s">
        <v>14</v>
      </c>
      <c r="C182" t="s">
        <v>167</v>
      </c>
      <c r="D182">
        <v>2022</v>
      </c>
      <c r="E182" t="s">
        <v>168</v>
      </c>
      <c r="F182" t="s">
        <v>17</v>
      </c>
      <c r="G182">
        <v>10</v>
      </c>
      <c r="I182" t="s">
        <v>1369</v>
      </c>
      <c r="M182" t="s">
        <v>170</v>
      </c>
      <c r="O182" t="s">
        <v>1370</v>
      </c>
    </row>
    <row r="183" spans="1:15" x14ac:dyDescent="0.25">
      <c r="A183" t="s">
        <v>425</v>
      </c>
      <c r="B183" t="s">
        <v>14</v>
      </c>
      <c r="C183" t="s">
        <v>1371</v>
      </c>
      <c r="D183">
        <v>2020</v>
      </c>
      <c r="E183" t="s">
        <v>1372</v>
      </c>
      <c r="F183" t="s">
        <v>1204</v>
      </c>
      <c r="G183">
        <v>61</v>
      </c>
      <c r="H183">
        <v>7</v>
      </c>
    </row>
    <row r="184" spans="1:15" x14ac:dyDescent="0.25">
      <c r="A184" t="s">
        <v>425</v>
      </c>
      <c r="B184" t="s">
        <v>14</v>
      </c>
      <c r="C184" t="s">
        <v>1373</v>
      </c>
      <c r="D184">
        <v>2022</v>
      </c>
      <c r="E184" t="s">
        <v>1374</v>
      </c>
      <c r="F184" t="s">
        <v>1375</v>
      </c>
      <c r="G184">
        <v>188</v>
      </c>
      <c r="M184" t="s">
        <v>1376</v>
      </c>
      <c r="O184" t="s">
        <v>1377</v>
      </c>
    </row>
    <row r="185" spans="1:15" x14ac:dyDescent="0.25">
      <c r="A185" t="s">
        <v>425</v>
      </c>
      <c r="B185" t="s">
        <v>1148</v>
      </c>
      <c r="C185" t="s">
        <v>1378</v>
      </c>
      <c r="D185">
        <v>2023</v>
      </c>
      <c r="E185" t="s">
        <v>679</v>
      </c>
      <c r="F185" t="s">
        <v>1379</v>
      </c>
      <c r="I185" t="s">
        <v>676</v>
      </c>
      <c r="M185" t="s">
        <v>678</v>
      </c>
      <c r="O185" t="s">
        <v>1380</v>
      </c>
    </row>
    <row r="186" spans="1:15" x14ac:dyDescent="0.25">
      <c r="A186" t="s">
        <v>425</v>
      </c>
      <c r="B186" t="s">
        <v>14</v>
      </c>
      <c r="C186" t="s">
        <v>1381</v>
      </c>
      <c r="D186">
        <v>2023</v>
      </c>
      <c r="E186" t="s">
        <v>1382</v>
      </c>
      <c r="F186" t="s">
        <v>1383</v>
      </c>
      <c r="G186">
        <v>68</v>
      </c>
      <c r="H186">
        <v>22</v>
      </c>
      <c r="I186" t="s">
        <v>1384</v>
      </c>
      <c r="M186" t="s">
        <v>1385</v>
      </c>
      <c r="O186" t="s">
        <v>1386</v>
      </c>
    </row>
    <row r="187" spans="1:15" x14ac:dyDescent="0.25">
      <c r="A187" t="s">
        <v>425</v>
      </c>
      <c r="B187" t="s">
        <v>14</v>
      </c>
      <c r="C187" t="s">
        <v>1057</v>
      </c>
      <c r="D187">
        <v>2022</v>
      </c>
      <c r="E187" t="s">
        <v>1387</v>
      </c>
      <c r="F187" t="s">
        <v>1334</v>
      </c>
      <c r="G187">
        <v>226</v>
      </c>
      <c r="M187" t="s">
        <v>1388</v>
      </c>
      <c r="O187" t="s">
        <v>1389</v>
      </c>
    </row>
    <row r="188" spans="1:15" x14ac:dyDescent="0.25">
      <c r="A188" t="s">
        <v>425</v>
      </c>
      <c r="B188" t="s">
        <v>14</v>
      </c>
      <c r="C188" t="s">
        <v>1390</v>
      </c>
      <c r="D188">
        <v>2024</v>
      </c>
      <c r="E188" t="s">
        <v>1391</v>
      </c>
      <c r="F188" t="s">
        <v>1392</v>
      </c>
      <c r="G188">
        <v>181</v>
      </c>
      <c r="M188" t="s">
        <v>1393</v>
      </c>
      <c r="O188" t="s">
        <v>1394</v>
      </c>
    </row>
    <row r="189" spans="1:15" x14ac:dyDescent="0.25">
      <c r="A189" t="s">
        <v>425</v>
      </c>
      <c r="B189" t="s">
        <v>1148</v>
      </c>
      <c r="C189" t="s">
        <v>1395</v>
      </c>
      <c r="D189">
        <v>2022</v>
      </c>
      <c r="E189" t="s">
        <v>690</v>
      </c>
      <c r="F189" t="s">
        <v>687</v>
      </c>
      <c r="I189" t="s">
        <v>1396</v>
      </c>
      <c r="M189" t="s">
        <v>689</v>
      </c>
      <c r="O189" t="s">
        <v>1397</v>
      </c>
    </row>
    <row r="190" spans="1:15" x14ac:dyDescent="0.25">
      <c r="A190" t="s">
        <v>425</v>
      </c>
      <c r="B190" t="s">
        <v>14</v>
      </c>
      <c r="C190" t="s">
        <v>692</v>
      </c>
      <c r="D190">
        <v>2022</v>
      </c>
      <c r="E190" t="s">
        <v>696</v>
      </c>
      <c r="F190" t="s">
        <v>1398</v>
      </c>
      <c r="G190">
        <v>41</v>
      </c>
      <c r="H190">
        <v>9</v>
      </c>
      <c r="I190" t="s">
        <v>693</v>
      </c>
      <c r="M190" t="s">
        <v>695</v>
      </c>
      <c r="O190" t="s">
        <v>697</v>
      </c>
    </row>
    <row r="191" spans="1:15" x14ac:dyDescent="0.25">
      <c r="A191" t="s">
        <v>425</v>
      </c>
      <c r="B191" t="s">
        <v>14</v>
      </c>
      <c r="C191" t="s">
        <v>1399</v>
      </c>
      <c r="D191">
        <v>2023</v>
      </c>
      <c r="E191" t="s">
        <v>1400</v>
      </c>
      <c r="F191" t="s">
        <v>1350</v>
      </c>
      <c r="G191">
        <v>13</v>
      </c>
      <c r="H191">
        <v>1</v>
      </c>
      <c r="M191" t="s">
        <v>1401</v>
      </c>
      <c r="O191" t="s">
        <v>1402</v>
      </c>
    </row>
    <row r="192" spans="1:15" x14ac:dyDescent="0.25">
      <c r="A192" t="s">
        <v>425</v>
      </c>
      <c r="B192" t="s">
        <v>14</v>
      </c>
      <c r="C192" t="s">
        <v>1403</v>
      </c>
      <c r="D192">
        <v>2020</v>
      </c>
      <c r="E192" t="s">
        <v>1404</v>
      </c>
      <c r="F192" t="s">
        <v>1405</v>
      </c>
      <c r="G192">
        <v>14</v>
      </c>
      <c r="H192">
        <v>1</v>
      </c>
      <c r="M192" t="s">
        <v>1406</v>
      </c>
      <c r="O192" t="s">
        <v>1407</v>
      </c>
    </row>
    <row r="193" spans="1:15" x14ac:dyDescent="0.25">
      <c r="A193" t="s">
        <v>425</v>
      </c>
      <c r="B193" t="s">
        <v>14</v>
      </c>
      <c r="C193" t="s">
        <v>1408</v>
      </c>
      <c r="D193">
        <v>2022</v>
      </c>
      <c r="E193" t="s">
        <v>1409</v>
      </c>
      <c r="F193" t="s">
        <v>1135</v>
      </c>
      <c r="G193">
        <v>12</v>
      </c>
      <c r="M193" t="s">
        <v>1410</v>
      </c>
      <c r="O193" t="s">
        <v>1411</v>
      </c>
    </row>
    <row r="194" spans="1:15" x14ac:dyDescent="0.25">
      <c r="A194" t="s">
        <v>425</v>
      </c>
      <c r="B194" t="s">
        <v>14</v>
      </c>
      <c r="C194" t="s">
        <v>1412</v>
      </c>
      <c r="D194">
        <v>2022</v>
      </c>
      <c r="E194" t="s">
        <v>1413</v>
      </c>
      <c r="F194" t="s">
        <v>224</v>
      </c>
      <c r="G194">
        <v>22</v>
      </c>
      <c r="H194">
        <v>23</v>
      </c>
      <c r="M194" t="s">
        <v>1414</v>
      </c>
      <c r="O194" t="s">
        <v>1415</v>
      </c>
    </row>
    <row r="195" spans="1:15" x14ac:dyDescent="0.25">
      <c r="A195" t="s">
        <v>425</v>
      </c>
      <c r="B195" t="s">
        <v>14</v>
      </c>
      <c r="C195" t="s">
        <v>1416</v>
      </c>
      <c r="D195">
        <v>2020</v>
      </c>
      <c r="E195" t="s">
        <v>1417</v>
      </c>
      <c r="F195" t="s">
        <v>1418</v>
      </c>
      <c r="G195">
        <v>11</v>
      </c>
      <c r="M195" t="s">
        <v>1419</v>
      </c>
      <c r="O195" t="s">
        <v>1420</v>
      </c>
    </row>
    <row r="196" spans="1:15" x14ac:dyDescent="0.25">
      <c r="A196" t="s">
        <v>425</v>
      </c>
      <c r="B196" t="s">
        <v>14</v>
      </c>
      <c r="C196" t="s">
        <v>1421</v>
      </c>
      <c r="D196">
        <v>2022</v>
      </c>
      <c r="E196" t="s">
        <v>1422</v>
      </c>
      <c r="F196" t="s">
        <v>1204</v>
      </c>
      <c r="G196">
        <v>63</v>
      </c>
      <c r="H196">
        <v>7</v>
      </c>
    </row>
    <row r="197" spans="1:15" x14ac:dyDescent="0.25">
      <c r="A197" t="s">
        <v>425</v>
      </c>
      <c r="B197" t="s">
        <v>1148</v>
      </c>
      <c r="C197" t="s">
        <v>1423</v>
      </c>
      <c r="D197">
        <v>2021</v>
      </c>
      <c r="E197" t="s">
        <v>727</v>
      </c>
      <c r="F197" t="s">
        <v>1424</v>
      </c>
      <c r="I197" t="s">
        <v>724</v>
      </c>
      <c r="M197" t="s">
        <v>726</v>
      </c>
      <c r="O197" t="s">
        <v>1425</v>
      </c>
    </row>
    <row r="198" spans="1:15" x14ac:dyDescent="0.25">
      <c r="A198" t="s">
        <v>425</v>
      </c>
      <c r="B198" t="s">
        <v>1148</v>
      </c>
      <c r="C198" t="s">
        <v>1426</v>
      </c>
      <c r="D198">
        <v>2020</v>
      </c>
      <c r="E198" t="s">
        <v>1427</v>
      </c>
      <c r="F198" t="s">
        <v>1428</v>
      </c>
      <c r="G198">
        <v>12446</v>
      </c>
      <c r="I198" t="s">
        <v>1429</v>
      </c>
      <c r="M198" t="s">
        <v>1430</v>
      </c>
      <c r="O198" t="s">
        <v>1431</v>
      </c>
    </row>
    <row r="199" spans="1:15" x14ac:dyDescent="0.25">
      <c r="A199" t="s">
        <v>425</v>
      </c>
      <c r="B199" t="s">
        <v>14</v>
      </c>
      <c r="C199" t="s">
        <v>1432</v>
      </c>
      <c r="D199">
        <v>2023</v>
      </c>
      <c r="E199" t="s">
        <v>1433</v>
      </c>
      <c r="F199" t="s">
        <v>1434</v>
      </c>
      <c r="G199">
        <v>13</v>
      </c>
      <c r="H199">
        <v>1</v>
      </c>
      <c r="M199" t="s">
        <v>1435</v>
      </c>
      <c r="O199" t="s">
        <v>1436</v>
      </c>
    </row>
    <row r="200" spans="1:15" x14ac:dyDescent="0.25">
      <c r="A200" t="s">
        <v>425</v>
      </c>
      <c r="B200" t="s">
        <v>14</v>
      </c>
      <c r="C200" t="s">
        <v>1437</v>
      </c>
      <c r="D200">
        <v>2024</v>
      </c>
      <c r="E200" t="s">
        <v>1438</v>
      </c>
      <c r="F200" t="s">
        <v>1439</v>
      </c>
      <c r="G200">
        <v>18</v>
      </c>
      <c r="M200" t="s">
        <v>1440</v>
      </c>
      <c r="O200" t="s">
        <v>1441</v>
      </c>
    </row>
    <row r="201" spans="1:15" x14ac:dyDescent="0.25">
      <c r="A201" t="s">
        <v>425</v>
      </c>
      <c r="B201" t="s">
        <v>14</v>
      </c>
      <c r="C201" t="s">
        <v>436</v>
      </c>
      <c r="D201">
        <v>2023</v>
      </c>
      <c r="E201" t="s">
        <v>1442</v>
      </c>
      <c r="F201" t="s">
        <v>1236</v>
      </c>
      <c r="G201">
        <v>10</v>
      </c>
      <c r="H201">
        <v>5</v>
      </c>
      <c r="M201" t="s">
        <v>1443</v>
      </c>
      <c r="O201" t="s">
        <v>1444</v>
      </c>
    </row>
    <row r="202" spans="1:15" x14ac:dyDescent="0.25">
      <c r="A202" t="s">
        <v>425</v>
      </c>
      <c r="B202" t="s">
        <v>14</v>
      </c>
      <c r="C202" t="s">
        <v>1445</v>
      </c>
      <c r="D202">
        <v>2023</v>
      </c>
      <c r="E202" t="s">
        <v>1446</v>
      </c>
      <c r="F202" t="s">
        <v>224</v>
      </c>
      <c r="G202">
        <v>23</v>
      </c>
      <c r="H202">
        <v>16</v>
      </c>
      <c r="M202" t="s">
        <v>1447</v>
      </c>
      <c r="O202" t="s">
        <v>1448</v>
      </c>
    </row>
    <row r="203" spans="1:15" x14ac:dyDescent="0.25">
      <c r="A203" t="s">
        <v>425</v>
      </c>
      <c r="B203" t="s">
        <v>14</v>
      </c>
      <c r="C203" t="s">
        <v>741</v>
      </c>
      <c r="D203">
        <v>2021</v>
      </c>
      <c r="E203" t="s">
        <v>746</v>
      </c>
      <c r="F203" t="s">
        <v>1449</v>
      </c>
      <c r="G203">
        <v>34</v>
      </c>
      <c r="H203">
        <v>2</v>
      </c>
      <c r="I203" t="s">
        <v>743</v>
      </c>
      <c r="M203" t="s">
        <v>745</v>
      </c>
      <c r="O203" t="s">
        <v>1450</v>
      </c>
    </row>
    <row r="204" spans="1:15" x14ac:dyDescent="0.25">
      <c r="A204" t="s">
        <v>425</v>
      </c>
      <c r="B204" t="s">
        <v>14</v>
      </c>
      <c r="C204" t="s">
        <v>1451</v>
      </c>
      <c r="D204">
        <v>2022</v>
      </c>
      <c r="E204" t="s">
        <v>1452</v>
      </c>
      <c r="F204" t="s">
        <v>218</v>
      </c>
      <c r="G204">
        <v>39</v>
      </c>
      <c r="H204">
        <v>5</v>
      </c>
      <c r="I204" t="s">
        <v>1453</v>
      </c>
      <c r="M204" t="s">
        <v>1454</v>
      </c>
      <c r="O204" t="s">
        <v>1455</v>
      </c>
    </row>
    <row r="205" spans="1:15" x14ac:dyDescent="0.25">
      <c r="A205" t="s">
        <v>425</v>
      </c>
      <c r="B205" t="s">
        <v>14</v>
      </c>
      <c r="C205" t="s">
        <v>1456</v>
      </c>
      <c r="D205">
        <v>2023</v>
      </c>
      <c r="E205" t="s">
        <v>1457</v>
      </c>
      <c r="F205" t="s">
        <v>1458</v>
      </c>
      <c r="G205">
        <v>221</v>
      </c>
      <c r="H205">
        <v>3</v>
      </c>
      <c r="I205" t="s">
        <v>1459</v>
      </c>
      <c r="M205" t="s">
        <v>1460</v>
      </c>
    </row>
    <row r="206" spans="1:15" x14ac:dyDescent="0.25">
      <c r="A206" t="s">
        <v>425</v>
      </c>
      <c r="B206" t="s">
        <v>1148</v>
      </c>
      <c r="C206" t="s">
        <v>192</v>
      </c>
      <c r="D206">
        <v>2022</v>
      </c>
      <c r="E206" t="s">
        <v>193</v>
      </c>
      <c r="F206" t="s">
        <v>1461</v>
      </c>
      <c r="I206" t="s">
        <v>748</v>
      </c>
      <c r="M206" t="s">
        <v>1462</v>
      </c>
      <c r="O206" t="s">
        <v>750</v>
      </c>
    </row>
    <row r="207" spans="1:15" x14ac:dyDescent="0.25">
      <c r="A207" t="s">
        <v>425</v>
      </c>
      <c r="B207" t="s">
        <v>1148</v>
      </c>
      <c r="C207" t="s">
        <v>1463</v>
      </c>
      <c r="D207">
        <v>2022</v>
      </c>
      <c r="E207" t="s">
        <v>756</v>
      </c>
      <c r="F207" t="s">
        <v>1464</v>
      </c>
      <c r="I207" t="s">
        <v>753</v>
      </c>
      <c r="M207" t="s">
        <v>755</v>
      </c>
      <c r="O207" t="s">
        <v>1465</v>
      </c>
    </row>
    <row r="208" spans="1:15" x14ac:dyDescent="0.25">
      <c r="A208" t="s">
        <v>425</v>
      </c>
      <c r="B208" t="s">
        <v>14</v>
      </c>
      <c r="C208" t="s">
        <v>200</v>
      </c>
      <c r="D208">
        <v>2022</v>
      </c>
      <c r="E208" t="s">
        <v>201</v>
      </c>
      <c r="F208" t="s">
        <v>202</v>
      </c>
      <c r="G208" t="s">
        <v>1466</v>
      </c>
      <c r="H208">
        <v>8</v>
      </c>
      <c r="I208" t="s">
        <v>1467</v>
      </c>
      <c r="M208" t="s">
        <v>204</v>
      </c>
      <c r="O208" t="s">
        <v>1468</v>
      </c>
    </row>
    <row r="209" spans="1:15" x14ac:dyDescent="0.25">
      <c r="A209" t="s">
        <v>425</v>
      </c>
      <c r="B209" t="s">
        <v>1148</v>
      </c>
      <c r="C209" t="s">
        <v>1469</v>
      </c>
      <c r="D209">
        <v>2023</v>
      </c>
      <c r="E209" t="s">
        <v>1470</v>
      </c>
      <c r="F209" t="s">
        <v>1471</v>
      </c>
      <c r="I209" t="s">
        <v>1472</v>
      </c>
      <c r="M209" t="s">
        <v>1473</v>
      </c>
      <c r="O209" t="s">
        <v>1474</v>
      </c>
    </row>
    <row r="210" spans="1:15" x14ac:dyDescent="0.25">
      <c r="A210" t="s">
        <v>425</v>
      </c>
      <c r="B210" t="s">
        <v>14</v>
      </c>
      <c r="C210" t="s">
        <v>1475</v>
      </c>
      <c r="D210">
        <v>2023</v>
      </c>
      <c r="E210" t="s">
        <v>1476</v>
      </c>
      <c r="F210" t="s">
        <v>224</v>
      </c>
      <c r="G210">
        <v>23</v>
      </c>
      <c r="H210">
        <v>8</v>
      </c>
      <c r="M210" t="s">
        <v>1477</v>
      </c>
      <c r="O210" t="s">
        <v>1478</v>
      </c>
    </row>
    <row r="211" spans="1:15" x14ac:dyDescent="0.25">
      <c r="A211" t="s">
        <v>425</v>
      </c>
      <c r="B211" t="s">
        <v>14</v>
      </c>
      <c r="C211" t="s">
        <v>1479</v>
      </c>
      <c r="D211">
        <v>2023</v>
      </c>
      <c r="E211" t="s">
        <v>1480</v>
      </c>
      <c r="F211" t="s">
        <v>1481</v>
      </c>
      <c r="G211">
        <v>14</v>
      </c>
      <c r="M211" t="s">
        <v>1482</v>
      </c>
      <c r="O211" t="s">
        <v>1483</v>
      </c>
    </row>
    <row r="212" spans="1:15" x14ac:dyDescent="0.25">
      <c r="A212" t="s">
        <v>425</v>
      </c>
      <c r="B212" t="s">
        <v>14</v>
      </c>
      <c r="C212" t="s">
        <v>1484</v>
      </c>
      <c r="D212">
        <v>2022</v>
      </c>
      <c r="E212" t="s">
        <v>1485</v>
      </c>
      <c r="F212" t="s">
        <v>1486</v>
      </c>
      <c r="G212">
        <v>30</v>
      </c>
      <c r="H212">
        <v>4</v>
      </c>
      <c r="I212" t="s">
        <v>1487</v>
      </c>
      <c r="M212" t="s">
        <v>1488</v>
      </c>
      <c r="O212" t="s">
        <v>1489</v>
      </c>
    </row>
    <row r="213" spans="1:15" x14ac:dyDescent="0.25">
      <c r="A213" t="s">
        <v>425</v>
      </c>
      <c r="B213" t="s">
        <v>14</v>
      </c>
      <c r="C213" t="s">
        <v>216</v>
      </c>
      <c r="D213">
        <v>2022</v>
      </c>
      <c r="E213" t="s">
        <v>217</v>
      </c>
      <c r="F213" t="s">
        <v>218</v>
      </c>
      <c r="G213">
        <v>39</v>
      </c>
      <c r="H213">
        <v>5</v>
      </c>
      <c r="I213" t="s">
        <v>1490</v>
      </c>
      <c r="M213" t="s">
        <v>220</v>
      </c>
      <c r="O213" t="s">
        <v>1491</v>
      </c>
    </row>
    <row r="214" spans="1:15" x14ac:dyDescent="0.25">
      <c r="A214" t="s">
        <v>425</v>
      </c>
      <c r="B214" t="s">
        <v>14</v>
      </c>
      <c r="C214" t="s">
        <v>216</v>
      </c>
      <c r="D214">
        <v>2023</v>
      </c>
      <c r="E214" t="s">
        <v>1492</v>
      </c>
      <c r="F214" t="s">
        <v>1493</v>
      </c>
      <c r="M214" t="s">
        <v>1494</v>
      </c>
      <c r="O214" t="s">
        <v>1495</v>
      </c>
    </row>
    <row r="215" spans="1:15" x14ac:dyDescent="0.25">
      <c r="A215" t="s">
        <v>425</v>
      </c>
      <c r="B215" t="s">
        <v>14</v>
      </c>
      <c r="C215" t="s">
        <v>1496</v>
      </c>
      <c r="D215">
        <v>2023</v>
      </c>
      <c r="E215" t="s">
        <v>1497</v>
      </c>
      <c r="F215" t="s">
        <v>1498</v>
      </c>
      <c r="G215">
        <v>7</v>
      </c>
      <c r="H215">
        <v>2</v>
      </c>
      <c r="M215" t="s">
        <v>1499</v>
      </c>
      <c r="O215" t="s">
        <v>1500</v>
      </c>
    </row>
    <row r="216" spans="1:15" x14ac:dyDescent="0.25">
      <c r="A216" t="s">
        <v>425</v>
      </c>
      <c r="B216" t="s">
        <v>14</v>
      </c>
      <c r="C216" t="s">
        <v>222</v>
      </c>
      <c r="D216">
        <v>2021</v>
      </c>
      <c r="E216" t="s">
        <v>223</v>
      </c>
      <c r="F216" t="s">
        <v>224</v>
      </c>
      <c r="G216">
        <v>21</v>
      </c>
      <c r="H216">
        <v>16</v>
      </c>
      <c r="M216" t="s">
        <v>226</v>
      </c>
      <c r="O216" t="s">
        <v>1501</v>
      </c>
    </row>
    <row r="217" spans="1:15" x14ac:dyDescent="0.25">
      <c r="A217" t="s">
        <v>425</v>
      </c>
      <c r="B217" t="s">
        <v>14</v>
      </c>
      <c r="C217" t="s">
        <v>1502</v>
      </c>
      <c r="D217">
        <v>2022</v>
      </c>
      <c r="E217" t="s">
        <v>1503</v>
      </c>
      <c r="F217" t="s">
        <v>1504</v>
      </c>
      <c r="G217">
        <v>23</v>
      </c>
      <c r="H217">
        <v>4</v>
      </c>
      <c r="I217" t="s">
        <v>1505</v>
      </c>
      <c r="M217" t="s">
        <v>1506</v>
      </c>
      <c r="O217" t="s">
        <v>1507</v>
      </c>
    </row>
    <row r="218" spans="1:15" x14ac:dyDescent="0.25">
      <c r="A218" t="s">
        <v>425</v>
      </c>
      <c r="B218" t="s">
        <v>1148</v>
      </c>
      <c r="C218" t="s">
        <v>229</v>
      </c>
      <c r="D218">
        <v>2022</v>
      </c>
      <c r="E218" t="s">
        <v>230</v>
      </c>
      <c r="F218" t="s">
        <v>1508</v>
      </c>
      <c r="G218">
        <v>13188</v>
      </c>
      <c r="I218" t="s">
        <v>1509</v>
      </c>
      <c r="M218" t="s">
        <v>232</v>
      </c>
      <c r="O218" t="s">
        <v>1510</v>
      </c>
    </row>
    <row r="219" spans="1:15" x14ac:dyDescent="0.25">
      <c r="A219" t="s">
        <v>425</v>
      </c>
      <c r="B219" t="s">
        <v>14</v>
      </c>
      <c r="C219" t="s">
        <v>251</v>
      </c>
      <c r="D219">
        <v>2022</v>
      </c>
      <c r="E219" t="s">
        <v>252</v>
      </c>
      <c r="F219" t="s">
        <v>253</v>
      </c>
      <c r="G219">
        <v>54</v>
      </c>
      <c r="H219">
        <v>5</v>
      </c>
      <c r="I219" t="s">
        <v>1511</v>
      </c>
      <c r="M219" t="s">
        <v>254</v>
      </c>
      <c r="O219" t="s">
        <v>1512</v>
      </c>
    </row>
    <row r="220" spans="1:15" x14ac:dyDescent="0.25">
      <c r="A220" t="s">
        <v>425</v>
      </c>
      <c r="B220" t="s">
        <v>1148</v>
      </c>
      <c r="C220" t="s">
        <v>1513</v>
      </c>
      <c r="D220">
        <v>2023</v>
      </c>
      <c r="E220" t="s">
        <v>1514</v>
      </c>
      <c r="F220" t="s">
        <v>1515</v>
      </c>
      <c r="G220">
        <v>14221</v>
      </c>
      <c r="I220" t="s">
        <v>1516</v>
      </c>
      <c r="M220" t="s">
        <v>1517</v>
      </c>
      <c r="O220" t="s">
        <v>1518</v>
      </c>
    </row>
    <row r="221" spans="1:15" x14ac:dyDescent="0.25">
      <c r="A221" t="s">
        <v>425</v>
      </c>
      <c r="B221" t="s">
        <v>14</v>
      </c>
      <c r="C221" t="s">
        <v>1519</v>
      </c>
      <c r="D221">
        <v>2023</v>
      </c>
      <c r="E221" t="s">
        <v>1520</v>
      </c>
      <c r="F221" t="s">
        <v>1521</v>
      </c>
      <c r="G221">
        <v>32</v>
      </c>
      <c r="H221">
        <v>9</v>
      </c>
      <c r="I221" t="s">
        <v>1522</v>
      </c>
      <c r="M221" t="s">
        <v>1523</v>
      </c>
      <c r="O221" t="s">
        <v>1524</v>
      </c>
    </row>
    <row r="222" spans="1:15" x14ac:dyDescent="0.25">
      <c r="A222" t="s">
        <v>425</v>
      </c>
      <c r="B222" t="s">
        <v>1148</v>
      </c>
      <c r="C222" t="s">
        <v>1525</v>
      </c>
      <c r="D222">
        <v>2024</v>
      </c>
      <c r="E222" t="s">
        <v>1526</v>
      </c>
      <c r="F222" t="s">
        <v>1527</v>
      </c>
      <c r="G222">
        <v>14349</v>
      </c>
      <c r="I222" t="s">
        <v>1528</v>
      </c>
      <c r="M222" t="s">
        <v>1529</v>
      </c>
      <c r="O222" t="s">
        <v>1530</v>
      </c>
    </row>
    <row r="223" spans="1:15" x14ac:dyDescent="0.25">
      <c r="A223" t="s">
        <v>425</v>
      </c>
      <c r="B223" t="s">
        <v>14</v>
      </c>
      <c r="C223" t="s">
        <v>266</v>
      </c>
      <c r="D223">
        <v>2023</v>
      </c>
      <c r="E223" t="s">
        <v>267</v>
      </c>
      <c r="F223" t="s">
        <v>268</v>
      </c>
      <c r="G223">
        <v>132</v>
      </c>
      <c r="M223" t="s">
        <v>270</v>
      </c>
      <c r="O223" t="s">
        <v>1531</v>
      </c>
    </row>
    <row r="224" spans="1:15" x14ac:dyDescent="0.25">
      <c r="A224" t="s">
        <v>425</v>
      </c>
      <c r="B224" t="s">
        <v>14</v>
      </c>
      <c r="C224" t="s">
        <v>1532</v>
      </c>
      <c r="D224">
        <v>2021</v>
      </c>
      <c r="E224" t="s">
        <v>1533</v>
      </c>
      <c r="F224" t="s">
        <v>1350</v>
      </c>
      <c r="G224">
        <v>11</v>
      </c>
      <c r="H224">
        <v>1</v>
      </c>
      <c r="M224" t="s">
        <v>1534</v>
      </c>
      <c r="O224" t="s">
        <v>1535</v>
      </c>
    </row>
    <row r="225" spans="1:15" x14ac:dyDescent="0.25">
      <c r="A225" t="s">
        <v>425</v>
      </c>
      <c r="B225" t="s">
        <v>14</v>
      </c>
      <c r="C225" t="s">
        <v>1536</v>
      </c>
      <c r="D225">
        <v>2023</v>
      </c>
      <c r="E225" t="s">
        <v>1537</v>
      </c>
      <c r="F225" t="s">
        <v>1538</v>
      </c>
      <c r="G225">
        <v>22</v>
      </c>
      <c r="H225">
        <v>1</v>
      </c>
      <c r="M225" t="s">
        <v>1539</v>
      </c>
      <c r="O225" t="s">
        <v>1540</v>
      </c>
    </row>
    <row r="226" spans="1:15" x14ac:dyDescent="0.25">
      <c r="A226" t="s">
        <v>425</v>
      </c>
      <c r="B226" t="s">
        <v>14</v>
      </c>
      <c r="C226" t="s">
        <v>274</v>
      </c>
      <c r="D226">
        <v>2023</v>
      </c>
      <c r="E226" t="s">
        <v>275</v>
      </c>
      <c r="F226" t="s">
        <v>276</v>
      </c>
      <c r="G226">
        <v>48</v>
      </c>
      <c r="H226">
        <v>3</v>
      </c>
      <c r="M226" t="s">
        <v>277</v>
      </c>
      <c r="O226" t="s">
        <v>1541</v>
      </c>
    </row>
    <row r="227" spans="1:15" x14ac:dyDescent="0.25">
      <c r="A227" t="s">
        <v>425</v>
      </c>
      <c r="B227" t="s">
        <v>14</v>
      </c>
      <c r="C227" t="s">
        <v>1542</v>
      </c>
      <c r="D227">
        <v>2022</v>
      </c>
      <c r="E227" t="s">
        <v>1543</v>
      </c>
      <c r="F227" t="s">
        <v>1544</v>
      </c>
      <c r="G227">
        <v>26</v>
      </c>
      <c r="H227">
        <v>2</v>
      </c>
      <c r="I227" t="s">
        <v>1545</v>
      </c>
      <c r="O227" t="s">
        <v>1546</v>
      </c>
    </row>
    <row r="228" spans="1:15" x14ac:dyDescent="0.25">
      <c r="A228" t="s">
        <v>425</v>
      </c>
      <c r="B228" t="s">
        <v>14</v>
      </c>
      <c r="C228" t="s">
        <v>278</v>
      </c>
      <c r="D228">
        <v>2023</v>
      </c>
      <c r="E228" t="s">
        <v>279</v>
      </c>
      <c r="F228" t="s">
        <v>280</v>
      </c>
      <c r="G228">
        <v>53</v>
      </c>
      <c r="H228">
        <v>19</v>
      </c>
      <c r="I228" t="s">
        <v>1547</v>
      </c>
      <c r="M228" t="s">
        <v>281</v>
      </c>
      <c r="O228" t="s">
        <v>1548</v>
      </c>
    </row>
    <row r="229" spans="1:15" x14ac:dyDescent="0.25">
      <c r="A229" t="s">
        <v>425</v>
      </c>
      <c r="B229" t="s">
        <v>14</v>
      </c>
      <c r="C229" t="s">
        <v>1549</v>
      </c>
      <c r="D229">
        <v>2021</v>
      </c>
      <c r="E229" t="s">
        <v>1550</v>
      </c>
      <c r="F229" t="s">
        <v>1551</v>
      </c>
      <c r="G229">
        <v>105</v>
      </c>
      <c r="H229">
        <v>8</v>
      </c>
      <c r="I229" t="s">
        <v>1552</v>
      </c>
      <c r="M229" t="s">
        <v>1553</v>
      </c>
      <c r="O229" t="s">
        <v>1554</v>
      </c>
    </row>
    <row r="230" spans="1:15" x14ac:dyDescent="0.25">
      <c r="A230" t="s">
        <v>425</v>
      </c>
      <c r="B230" t="s">
        <v>1148</v>
      </c>
      <c r="C230" t="s">
        <v>1555</v>
      </c>
      <c r="D230">
        <v>2023</v>
      </c>
      <c r="E230" t="s">
        <v>1556</v>
      </c>
      <c r="F230" t="s">
        <v>1557</v>
      </c>
      <c r="G230">
        <v>14242</v>
      </c>
      <c r="I230" t="s">
        <v>1558</v>
      </c>
      <c r="M230" t="s">
        <v>1559</v>
      </c>
      <c r="O230" t="s">
        <v>1560</v>
      </c>
    </row>
    <row r="231" spans="1:15" x14ac:dyDescent="0.25">
      <c r="A231" t="s">
        <v>425</v>
      </c>
      <c r="B231" t="s">
        <v>1148</v>
      </c>
      <c r="C231" t="s">
        <v>1561</v>
      </c>
      <c r="D231">
        <v>2023</v>
      </c>
      <c r="E231" t="s">
        <v>1562</v>
      </c>
      <c r="F231" t="s">
        <v>1563</v>
      </c>
      <c r="G231">
        <v>13939</v>
      </c>
      <c r="I231" t="s">
        <v>1564</v>
      </c>
      <c r="M231" t="s">
        <v>1565</v>
      </c>
      <c r="O231" t="s">
        <v>1566</v>
      </c>
    </row>
    <row r="232" spans="1:15" x14ac:dyDescent="0.25">
      <c r="A232" t="s">
        <v>425</v>
      </c>
      <c r="B232" t="s">
        <v>1148</v>
      </c>
      <c r="C232" t="s">
        <v>784</v>
      </c>
      <c r="D232">
        <v>2021</v>
      </c>
      <c r="E232" t="s">
        <v>788</v>
      </c>
      <c r="F232" t="s">
        <v>1567</v>
      </c>
      <c r="I232" t="s">
        <v>1568</v>
      </c>
      <c r="M232" t="s">
        <v>787</v>
      </c>
      <c r="O232" t="s">
        <v>1569</v>
      </c>
    </row>
    <row r="233" spans="1:15" x14ac:dyDescent="0.25">
      <c r="A233" t="s">
        <v>425</v>
      </c>
      <c r="B233" t="s">
        <v>1148</v>
      </c>
      <c r="C233" t="s">
        <v>1570</v>
      </c>
      <c r="D233">
        <v>2023</v>
      </c>
      <c r="E233" t="s">
        <v>794</v>
      </c>
      <c r="F233" t="s">
        <v>1571</v>
      </c>
      <c r="M233" t="s">
        <v>793</v>
      </c>
      <c r="O233" t="s">
        <v>1572</v>
      </c>
    </row>
    <row r="234" spans="1:15" x14ac:dyDescent="0.25">
      <c r="A234" t="s">
        <v>425</v>
      </c>
      <c r="B234" t="s">
        <v>14</v>
      </c>
      <c r="C234" t="s">
        <v>1573</v>
      </c>
      <c r="D234">
        <v>2022</v>
      </c>
      <c r="E234" t="s">
        <v>1574</v>
      </c>
      <c r="F234" t="s">
        <v>1575</v>
      </c>
      <c r="G234">
        <v>146</v>
      </c>
    </row>
    <row r="235" spans="1:15" x14ac:dyDescent="0.25">
      <c r="A235" t="s">
        <v>425</v>
      </c>
      <c r="B235" t="s">
        <v>1148</v>
      </c>
      <c r="C235" t="s">
        <v>1576</v>
      </c>
      <c r="D235">
        <v>2022</v>
      </c>
      <c r="E235" t="s">
        <v>1577</v>
      </c>
      <c r="F235" t="s">
        <v>1578</v>
      </c>
      <c r="I235" t="s">
        <v>433</v>
      </c>
      <c r="M235" t="s">
        <v>1579</v>
      </c>
      <c r="O235" t="s">
        <v>1580</v>
      </c>
    </row>
    <row r="236" spans="1:15" x14ac:dyDescent="0.25">
      <c r="A236" t="s">
        <v>425</v>
      </c>
      <c r="B236" t="s">
        <v>14</v>
      </c>
      <c r="C236" t="s">
        <v>305</v>
      </c>
      <c r="D236">
        <v>2023</v>
      </c>
      <c r="E236" t="s">
        <v>306</v>
      </c>
      <c r="F236" t="s">
        <v>1581</v>
      </c>
      <c r="M236" t="s">
        <v>308</v>
      </c>
      <c r="O236" t="s">
        <v>1582</v>
      </c>
    </row>
    <row r="237" spans="1:15" x14ac:dyDescent="0.25">
      <c r="A237" t="s">
        <v>425</v>
      </c>
      <c r="B237" t="s">
        <v>1148</v>
      </c>
      <c r="C237" t="s">
        <v>1583</v>
      </c>
      <c r="D237">
        <v>2022</v>
      </c>
      <c r="E237" t="s">
        <v>319</v>
      </c>
      <c r="F237" t="s">
        <v>1584</v>
      </c>
      <c r="G237">
        <v>200</v>
      </c>
      <c r="I237" t="s">
        <v>1101</v>
      </c>
      <c r="M237" t="s">
        <v>320</v>
      </c>
      <c r="O237" t="s">
        <v>1585</v>
      </c>
    </row>
    <row r="238" spans="1:15" x14ac:dyDescent="0.25">
      <c r="A238" t="s">
        <v>425</v>
      </c>
      <c r="B238" t="s">
        <v>1148</v>
      </c>
      <c r="C238" t="s">
        <v>1586</v>
      </c>
      <c r="D238">
        <v>2020</v>
      </c>
      <c r="E238" t="s">
        <v>313</v>
      </c>
      <c r="F238" t="s">
        <v>1587</v>
      </c>
      <c r="I238" t="s">
        <v>797</v>
      </c>
      <c r="O238" t="s">
        <v>799</v>
      </c>
    </row>
    <row r="239" spans="1:15" x14ac:dyDescent="0.25">
      <c r="A239" t="s">
        <v>425</v>
      </c>
      <c r="B239" t="s">
        <v>14</v>
      </c>
      <c r="C239" t="s">
        <v>323</v>
      </c>
      <c r="D239">
        <v>2020</v>
      </c>
      <c r="E239" t="s">
        <v>324</v>
      </c>
      <c r="F239" t="s">
        <v>325</v>
      </c>
      <c r="G239">
        <v>128</v>
      </c>
      <c r="H239">
        <v>2</v>
      </c>
      <c r="I239" t="s">
        <v>1588</v>
      </c>
      <c r="M239" t="s">
        <v>327</v>
      </c>
      <c r="O239" t="s">
        <v>1589</v>
      </c>
    </row>
    <row r="240" spans="1:15" x14ac:dyDescent="0.25">
      <c r="A240" t="s">
        <v>425</v>
      </c>
      <c r="B240" t="s">
        <v>1148</v>
      </c>
      <c r="C240" t="s">
        <v>1590</v>
      </c>
      <c r="D240">
        <v>2022</v>
      </c>
      <c r="E240" t="s">
        <v>811</v>
      </c>
      <c r="F240" t="s">
        <v>1591</v>
      </c>
      <c r="M240" t="s">
        <v>810</v>
      </c>
      <c r="O240" t="s">
        <v>812</v>
      </c>
    </row>
    <row r="241" spans="1:15" x14ac:dyDescent="0.25">
      <c r="A241" t="s">
        <v>425</v>
      </c>
      <c r="B241" t="s">
        <v>14</v>
      </c>
      <c r="C241" t="s">
        <v>1592</v>
      </c>
      <c r="D241">
        <v>2020</v>
      </c>
      <c r="E241" t="s">
        <v>1593</v>
      </c>
      <c r="F241" t="s">
        <v>1575</v>
      </c>
      <c r="G241">
        <v>142</v>
      </c>
      <c r="M241" t="s">
        <v>1594</v>
      </c>
    </row>
    <row r="242" spans="1:15" x14ac:dyDescent="0.25">
      <c r="A242" t="s">
        <v>425</v>
      </c>
      <c r="B242" t="s">
        <v>14</v>
      </c>
      <c r="C242" t="s">
        <v>1595</v>
      </c>
      <c r="D242">
        <v>2021</v>
      </c>
      <c r="E242" t="s">
        <v>1596</v>
      </c>
      <c r="F242" t="s">
        <v>1575</v>
      </c>
      <c r="G242">
        <v>144</v>
      </c>
    </row>
    <row r="243" spans="1:15" x14ac:dyDescent="0.25">
      <c r="A243" t="s">
        <v>425</v>
      </c>
      <c r="B243" t="s">
        <v>1148</v>
      </c>
      <c r="C243" t="s">
        <v>1597</v>
      </c>
      <c r="D243">
        <v>2023</v>
      </c>
      <c r="E243" t="s">
        <v>828</v>
      </c>
      <c r="F243" t="s">
        <v>1379</v>
      </c>
      <c r="I243" t="s">
        <v>825</v>
      </c>
      <c r="M243" t="s">
        <v>827</v>
      </c>
      <c r="O243" t="s">
        <v>1598</v>
      </c>
    </row>
    <row r="244" spans="1:15" x14ac:dyDescent="0.25">
      <c r="A244" t="s">
        <v>425</v>
      </c>
      <c r="B244" t="s">
        <v>1148</v>
      </c>
      <c r="C244" t="s">
        <v>437</v>
      </c>
      <c r="D244">
        <v>2022</v>
      </c>
      <c r="E244" t="s">
        <v>413</v>
      </c>
      <c r="F244" t="s">
        <v>1599</v>
      </c>
      <c r="I244" t="s">
        <v>415</v>
      </c>
      <c r="M244" t="s">
        <v>416</v>
      </c>
      <c r="O244" t="s">
        <v>438</v>
      </c>
    </row>
    <row r="245" spans="1:15" x14ac:dyDescent="0.25">
      <c r="A245" t="s">
        <v>425</v>
      </c>
      <c r="B245" t="s">
        <v>14</v>
      </c>
      <c r="C245" t="s">
        <v>1600</v>
      </c>
      <c r="D245">
        <v>2023</v>
      </c>
      <c r="E245" t="s">
        <v>1601</v>
      </c>
      <c r="F245" t="s">
        <v>1236</v>
      </c>
      <c r="G245">
        <v>10</v>
      </c>
      <c r="H245">
        <v>5</v>
      </c>
      <c r="M245" t="s">
        <v>1602</v>
      </c>
      <c r="O245" t="s">
        <v>1603</v>
      </c>
    </row>
    <row r="246" spans="1:15" x14ac:dyDescent="0.25">
      <c r="A246" t="s">
        <v>425</v>
      </c>
      <c r="B246" t="s">
        <v>14</v>
      </c>
      <c r="C246" t="s">
        <v>418</v>
      </c>
      <c r="D246">
        <v>2022</v>
      </c>
      <c r="E246" t="s">
        <v>419</v>
      </c>
      <c r="F246" t="s">
        <v>1604</v>
      </c>
      <c r="G246">
        <v>71</v>
      </c>
      <c r="M246" t="s">
        <v>420</v>
      </c>
      <c r="O246" t="s">
        <v>1605</v>
      </c>
    </row>
    <row r="247" spans="1:15" x14ac:dyDescent="0.25">
      <c r="A247" t="s">
        <v>425</v>
      </c>
      <c r="B247" t="s">
        <v>14</v>
      </c>
      <c r="C247" t="s">
        <v>838</v>
      </c>
      <c r="D247">
        <v>2022</v>
      </c>
      <c r="E247" t="s">
        <v>843</v>
      </c>
      <c r="F247" t="s">
        <v>1606</v>
      </c>
      <c r="G247">
        <v>15</v>
      </c>
      <c r="I247" t="s">
        <v>840</v>
      </c>
      <c r="M247" t="s">
        <v>842</v>
      </c>
      <c r="O247" t="s">
        <v>844</v>
      </c>
    </row>
    <row r="248" spans="1:15" x14ac:dyDescent="0.25">
      <c r="A248" t="s">
        <v>425</v>
      </c>
      <c r="B248" t="s">
        <v>1148</v>
      </c>
      <c r="C248" t="s">
        <v>1607</v>
      </c>
      <c r="D248">
        <v>2022</v>
      </c>
      <c r="E248" t="s">
        <v>849</v>
      </c>
      <c r="F248" t="s">
        <v>1608</v>
      </c>
      <c r="I248" t="s">
        <v>846</v>
      </c>
      <c r="M248" t="s">
        <v>848</v>
      </c>
      <c r="O248" t="s">
        <v>850</v>
      </c>
    </row>
    <row r="249" spans="1:15" x14ac:dyDescent="0.25">
      <c r="A249" t="s">
        <v>425</v>
      </c>
      <c r="B249" t="s">
        <v>14</v>
      </c>
      <c r="C249" t="s">
        <v>1609</v>
      </c>
      <c r="D249">
        <v>2022</v>
      </c>
      <c r="E249" t="s">
        <v>1610</v>
      </c>
      <c r="F249" t="s">
        <v>1611</v>
      </c>
      <c r="G249">
        <v>19</v>
      </c>
      <c r="H249">
        <v>3</v>
      </c>
      <c r="M249" t="s">
        <v>1612</v>
      </c>
      <c r="O249" t="s">
        <v>1613</v>
      </c>
    </row>
    <row r="250" spans="1:15" x14ac:dyDescent="0.25">
      <c r="A250" t="s">
        <v>425</v>
      </c>
      <c r="B250" t="s">
        <v>14</v>
      </c>
      <c r="C250" t="s">
        <v>1614</v>
      </c>
      <c r="D250">
        <v>2023</v>
      </c>
      <c r="E250" t="s">
        <v>1615</v>
      </c>
      <c r="F250" t="s">
        <v>1616</v>
      </c>
      <c r="G250">
        <v>16</v>
      </c>
      <c r="H250">
        <v>1</v>
      </c>
      <c r="M250" t="s">
        <v>1617</v>
      </c>
      <c r="O250" t="s">
        <v>1618</v>
      </c>
    </row>
    <row r="251" spans="1:15" x14ac:dyDescent="0.25">
      <c r="A251" t="s">
        <v>425</v>
      </c>
      <c r="B251" t="s">
        <v>1148</v>
      </c>
      <c r="C251" t="s">
        <v>1619</v>
      </c>
      <c r="D251">
        <v>2023</v>
      </c>
      <c r="E251" t="s">
        <v>855</v>
      </c>
      <c r="F251" t="s">
        <v>1620</v>
      </c>
      <c r="M251" t="s">
        <v>854</v>
      </c>
      <c r="O251" t="s">
        <v>1621</v>
      </c>
    </row>
    <row r="252" spans="1:15" x14ac:dyDescent="0.25">
      <c r="A252" t="s">
        <v>425</v>
      </c>
      <c r="B252" t="s">
        <v>1148</v>
      </c>
      <c r="C252" t="s">
        <v>1622</v>
      </c>
      <c r="D252">
        <v>2021</v>
      </c>
      <c r="E252" t="s">
        <v>1623</v>
      </c>
      <c r="F252" t="s">
        <v>1624</v>
      </c>
      <c r="M252" t="s">
        <v>1625</v>
      </c>
      <c r="O252" t="s">
        <v>1626</v>
      </c>
    </row>
    <row r="253" spans="1:15" x14ac:dyDescent="0.25">
      <c r="A253" t="s">
        <v>425</v>
      </c>
      <c r="B253" t="s">
        <v>14</v>
      </c>
      <c r="C253" t="s">
        <v>344</v>
      </c>
      <c r="D253">
        <v>2023</v>
      </c>
      <c r="E253" t="s">
        <v>345</v>
      </c>
      <c r="F253" t="s">
        <v>148</v>
      </c>
      <c r="G253">
        <v>13</v>
      </c>
      <c r="H253">
        <v>5</v>
      </c>
      <c r="M253" t="s">
        <v>347</v>
      </c>
      <c r="O253" t="s">
        <v>1627</v>
      </c>
    </row>
    <row r="254" spans="1:15" x14ac:dyDescent="0.25">
      <c r="A254" t="s">
        <v>425</v>
      </c>
      <c r="B254" t="s">
        <v>14</v>
      </c>
      <c r="C254" t="s">
        <v>1108</v>
      </c>
      <c r="D254">
        <v>2022</v>
      </c>
      <c r="E254" t="s">
        <v>1109</v>
      </c>
      <c r="F254" t="s">
        <v>1628</v>
      </c>
      <c r="G254">
        <v>78</v>
      </c>
      <c r="M254" t="s">
        <v>1629</v>
      </c>
      <c r="O254" t="s">
        <v>1630</v>
      </c>
    </row>
    <row r="255" spans="1:15" x14ac:dyDescent="0.25">
      <c r="A255" t="s">
        <v>425</v>
      </c>
      <c r="B255" t="s">
        <v>1148</v>
      </c>
      <c r="C255" t="s">
        <v>1631</v>
      </c>
      <c r="D255">
        <v>2022</v>
      </c>
      <c r="E255" t="s">
        <v>1632</v>
      </c>
      <c r="F255" t="s">
        <v>1633</v>
      </c>
      <c r="M255" t="s">
        <v>1634</v>
      </c>
      <c r="O255" t="s">
        <v>1635</v>
      </c>
    </row>
    <row r="256" spans="1:15" x14ac:dyDescent="0.25">
      <c r="A256" t="s">
        <v>425</v>
      </c>
      <c r="B256" t="s">
        <v>14</v>
      </c>
      <c r="C256" t="s">
        <v>349</v>
      </c>
      <c r="D256">
        <v>2023</v>
      </c>
      <c r="E256" t="s">
        <v>350</v>
      </c>
      <c r="F256" t="s">
        <v>148</v>
      </c>
      <c r="G256">
        <v>13</v>
      </c>
      <c r="H256">
        <v>9</v>
      </c>
      <c r="M256" t="s">
        <v>352</v>
      </c>
      <c r="O256" t="s">
        <v>1636</v>
      </c>
    </row>
    <row r="257" spans="1:15" x14ac:dyDescent="0.25">
      <c r="A257" t="s">
        <v>425</v>
      </c>
      <c r="B257" t="s">
        <v>1148</v>
      </c>
      <c r="C257" t="s">
        <v>1637</v>
      </c>
      <c r="D257">
        <v>2022</v>
      </c>
      <c r="E257" t="s">
        <v>1638</v>
      </c>
      <c r="F257" t="s">
        <v>1639</v>
      </c>
      <c r="I257" t="s">
        <v>1640</v>
      </c>
      <c r="M257" t="s">
        <v>1641</v>
      </c>
      <c r="O257" t="s">
        <v>1642</v>
      </c>
    </row>
    <row r="258" spans="1:15" x14ac:dyDescent="0.25">
      <c r="A258" t="s">
        <v>425</v>
      </c>
      <c r="B258" t="s">
        <v>14</v>
      </c>
      <c r="C258" t="s">
        <v>1643</v>
      </c>
      <c r="D258">
        <v>2022</v>
      </c>
      <c r="E258" t="s">
        <v>1644</v>
      </c>
      <c r="F258" t="s">
        <v>1439</v>
      </c>
      <c r="G258">
        <v>16</v>
      </c>
      <c r="M258" t="s">
        <v>1645</v>
      </c>
      <c r="O258" t="s">
        <v>1646</v>
      </c>
    </row>
    <row r="259" spans="1:15" x14ac:dyDescent="0.25">
      <c r="A259" t="s">
        <v>425</v>
      </c>
      <c r="B259" t="s">
        <v>14</v>
      </c>
      <c r="C259" t="s">
        <v>354</v>
      </c>
      <c r="D259">
        <v>2023</v>
      </c>
      <c r="E259" t="s">
        <v>355</v>
      </c>
      <c r="F259" t="s">
        <v>17</v>
      </c>
      <c r="G259">
        <v>11</v>
      </c>
      <c r="I259" t="s">
        <v>423</v>
      </c>
      <c r="M259" t="s">
        <v>356</v>
      </c>
      <c r="O259" t="s">
        <v>440</v>
      </c>
    </row>
    <row r="260" spans="1:15" x14ac:dyDescent="0.25">
      <c r="A260" t="s">
        <v>425</v>
      </c>
      <c r="B260" t="s">
        <v>14</v>
      </c>
      <c r="C260" t="s">
        <v>879</v>
      </c>
      <c r="D260">
        <v>2024</v>
      </c>
      <c r="E260" t="s">
        <v>1647</v>
      </c>
      <c r="F260" t="s">
        <v>1648</v>
      </c>
      <c r="G260">
        <v>16</v>
      </c>
      <c r="H260">
        <v>1</v>
      </c>
      <c r="I260" s="11">
        <v>16072</v>
      </c>
      <c r="M260" t="s">
        <v>1649</v>
      </c>
      <c r="O260" t="s">
        <v>1650</v>
      </c>
    </row>
    <row r="261" spans="1:15" x14ac:dyDescent="0.25">
      <c r="A261" t="s">
        <v>425</v>
      </c>
      <c r="B261" t="s">
        <v>14</v>
      </c>
      <c r="C261" t="s">
        <v>1651</v>
      </c>
      <c r="D261">
        <v>2022</v>
      </c>
      <c r="E261" t="s">
        <v>1652</v>
      </c>
      <c r="F261" t="s">
        <v>1204</v>
      </c>
      <c r="G261">
        <v>63</v>
      </c>
      <c r="H261">
        <v>7</v>
      </c>
    </row>
    <row r="262" spans="1:15" x14ac:dyDescent="0.25">
      <c r="A262" t="s">
        <v>425</v>
      </c>
      <c r="B262" t="s">
        <v>14</v>
      </c>
      <c r="C262" t="s">
        <v>1653</v>
      </c>
      <c r="D262">
        <v>2023</v>
      </c>
      <c r="E262" t="s">
        <v>1654</v>
      </c>
      <c r="F262" t="s">
        <v>1655</v>
      </c>
      <c r="G262">
        <v>31</v>
      </c>
      <c r="H262">
        <v>3</v>
      </c>
      <c r="I262" t="s">
        <v>1656</v>
      </c>
      <c r="M262" t="s">
        <v>1657</v>
      </c>
      <c r="O262" t="s">
        <v>1658</v>
      </c>
    </row>
    <row r="263" spans="1:15" x14ac:dyDescent="0.25">
      <c r="A263" t="s">
        <v>425</v>
      </c>
      <c r="B263" t="s">
        <v>1148</v>
      </c>
      <c r="C263" t="s">
        <v>1659</v>
      </c>
      <c r="D263">
        <v>2023</v>
      </c>
      <c r="E263" t="s">
        <v>890</v>
      </c>
      <c r="F263" t="s">
        <v>1660</v>
      </c>
      <c r="I263" t="s">
        <v>887</v>
      </c>
      <c r="M263" t="s">
        <v>889</v>
      </c>
      <c r="O263" t="s">
        <v>891</v>
      </c>
    </row>
    <row r="264" spans="1:15" x14ac:dyDescent="0.25">
      <c r="A264" t="s">
        <v>425</v>
      </c>
      <c r="B264" t="s">
        <v>14</v>
      </c>
      <c r="C264" t="s">
        <v>1661</v>
      </c>
      <c r="D264">
        <v>2023</v>
      </c>
      <c r="E264" t="s">
        <v>1662</v>
      </c>
      <c r="F264" t="s">
        <v>1663</v>
      </c>
      <c r="G264">
        <v>5</v>
      </c>
      <c r="H264">
        <v>2</v>
      </c>
      <c r="M264" t="s">
        <v>1664</v>
      </c>
      <c r="O264" t="s">
        <v>1665</v>
      </c>
    </row>
    <row r="265" spans="1:15" x14ac:dyDescent="0.25">
      <c r="A265" t="s">
        <v>425</v>
      </c>
      <c r="B265" t="s">
        <v>14</v>
      </c>
      <c r="C265" t="s">
        <v>1666</v>
      </c>
      <c r="D265">
        <v>2022</v>
      </c>
      <c r="E265" t="s">
        <v>1667</v>
      </c>
      <c r="F265" t="s">
        <v>1668</v>
      </c>
      <c r="G265">
        <v>10</v>
      </c>
      <c r="H265">
        <v>5</v>
      </c>
      <c r="M265" t="s">
        <v>1669</v>
      </c>
      <c r="O265" t="s">
        <v>1670</v>
      </c>
    </row>
    <row r="266" spans="1:15" x14ac:dyDescent="0.25">
      <c r="A266" t="s">
        <v>425</v>
      </c>
      <c r="B266" t="s">
        <v>14</v>
      </c>
      <c r="C266" t="s">
        <v>1114</v>
      </c>
      <c r="D266">
        <v>2023</v>
      </c>
      <c r="E266" t="s">
        <v>1115</v>
      </c>
      <c r="F266" t="s">
        <v>1628</v>
      </c>
      <c r="G266">
        <v>86</v>
      </c>
      <c r="M266" t="s">
        <v>1671</v>
      </c>
      <c r="O266" t="s">
        <v>1119</v>
      </c>
    </row>
    <row r="267" spans="1:15" x14ac:dyDescent="0.25">
      <c r="A267" t="s">
        <v>425</v>
      </c>
      <c r="B267" t="s">
        <v>14</v>
      </c>
      <c r="C267" t="s">
        <v>1672</v>
      </c>
      <c r="D267">
        <v>2022</v>
      </c>
      <c r="E267" t="s">
        <v>1673</v>
      </c>
      <c r="F267" t="s">
        <v>1674</v>
      </c>
      <c r="G267">
        <v>2022</v>
      </c>
      <c r="M267" t="s">
        <v>1675</v>
      </c>
      <c r="O267" t="s">
        <v>1676</v>
      </c>
    </row>
    <row r="268" spans="1:15" x14ac:dyDescent="0.25">
      <c r="A268" t="s">
        <v>425</v>
      </c>
      <c r="B268" t="s">
        <v>14</v>
      </c>
      <c r="C268" t="s">
        <v>1677</v>
      </c>
      <c r="D268">
        <v>2021</v>
      </c>
      <c r="E268" t="s">
        <v>1678</v>
      </c>
      <c r="F268" t="s">
        <v>1679</v>
      </c>
      <c r="G268">
        <v>48</v>
      </c>
      <c r="H268">
        <v>9</v>
      </c>
      <c r="I268" t="s">
        <v>1680</v>
      </c>
      <c r="M268" t="s">
        <v>1681</v>
      </c>
      <c r="O268" t="s">
        <v>1682</v>
      </c>
    </row>
    <row r="269" spans="1:15" x14ac:dyDescent="0.25">
      <c r="A269" t="s">
        <v>425</v>
      </c>
      <c r="B269" t="s">
        <v>14</v>
      </c>
      <c r="C269" t="s">
        <v>898</v>
      </c>
      <c r="D269">
        <v>2022</v>
      </c>
      <c r="E269" t="s">
        <v>902</v>
      </c>
      <c r="F269" t="s">
        <v>1683</v>
      </c>
      <c r="G269">
        <v>19</v>
      </c>
      <c r="M269" t="s">
        <v>901</v>
      </c>
      <c r="O269" t="s">
        <v>1684</v>
      </c>
    </row>
    <row r="270" spans="1:15" x14ac:dyDescent="0.25">
      <c r="A270" t="s">
        <v>425</v>
      </c>
      <c r="B270" t="s">
        <v>14</v>
      </c>
      <c r="C270" t="s">
        <v>1120</v>
      </c>
      <c r="D270">
        <v>2023</v>
      </c>
      <c r="E270" t="s">
        <v>1121</v>
      </c>
      <c r="F270" t="s">
        <v>1685</v>
      </c>
      <c r="G270">
        <v>164</v>
      </c>
      <c r="I270" t="s">
        <v>1122</v>
      </c>
      <c r="M270" t="s">
        <v>1686</v>
      </c>
      <c r="O270" t="s">
        <v>1687</v>
      </c>
    </row>
    <row r="271" spans="1:15" x14ac:dyDescent="0.25">
      <c r="A271" t="s">
        <v>425</v>
      </c>
      <c r="B271" t="s">
        <v>1688</v>
      </c>
      <c r="C271" t="s">
        <v>1689</v>
      </c>
      <c r="D271">
        <v>2023</v>
      </c>
      <c r="E271" t="s">
        <v>1690</v>
      </c>
    </row>
    <row r="272" spans="1:15" x14ac:dyDescent="0.25">
      <c r="A272" t="s">
        <v>425</v>
      </c>
      <c r="B272" t="s">
        <v>1148</v>
      </c>
      <c r="C272" t="s">
        <v>1691</v>
      </c>
      <c r="D272">
        <v>2022</v>
      </c>
      <c r="E272" t="s">
        <v>1692</v>
      </c>
      <c r="F272" t="s">
        <v>1693</v>
      </c>
      <c r="G272">
        <v>12032</v>
      </c>
      <c r="M272" t="s">
        <v>1694</v>
      </c>
      <c r="O272" t="s">
        <v>1695</v>
      </c>
    </row>
    <row r="273" spans="1:15" x14ac:dyDescent="0.25">
      <c r="A273" t="s">
        <v>425</v>
      </c>
      <c r="B273" t="s">
        <v>14</v>
      </c>
      <c r="C273" t="s">
        <v>1696</v>
      </c>
      <c r="D273">
        <v>2023</v>
      </c>
      <c r="E273" t="s">
        <v>1697</v>
      </c>
      <c r="F273" t="s">
        <v>17</v>
      </c>
      <c r="G273">
        <v>11</v>
      </c>
      <c r="I273" t="s">
        <v>1698</v>
      </c>
      <c r="M273" t="s">
        <v>1699</v>
      </c>
      <c r="O273" t="s">
        <v>1700</v>
      </c>
    </row>
    <row r="274" spans="1:15" x14ac:dyDescent="0.25">
      <c r="A274" t="s">
        <v>425</v>
      </c>
      <c r="B274" t="s">
        <v>1148</v>
      </c>
      <c r="C274" t="s">
        <v>1701</v>
      </c>
      <c r="D274">
        <v>2020</v>
      </c>
      <c r="E274" t="s">
        <v>1702</v>
      </c>
      <c r="F274" t="s">
        <v>1703</v>
      </c>
      <c r="G274">
        <v>11797</v>
      </c>
      <c r="I274" t="s">
        <v>1704</v>
      </c>
      <c r="M274" t="s">
        <v>1705</v>
      </c>
      <c r="O274" t="s">
        <v>1706</v>
      </c>
    </row>
    <row r="275" spans="1:15" x14ac:dyDescent="0.25">
      <c r="A275" t="s">
        <v>425</v>
      </c>
      <c r="B275" t="s">
        <v>14</v>
      </c>
      <c r="C275" t="s">
        <v>1127</v>
      </c>
      <c r="D275">
        <v>2023</v>
      </c>
      <c r="E275" t="s">
        <v>1128</v>
      </c>
      <c r="F275" t="s">
        <v>1707</v>
      </c>
      <c r="G275">
        <v>126</v>
      </c>
      <c r="M275" t="s">
        <v>1708</v>
      </c>
      <c r="O275" t="s">
        <v>1132</v>
      </c>
    </row>
    <row r="276" spans="1:15" x14ac:dyDescent="0.25">
      <c r="A276" t="s">
        <v>425</v>
      </c>
      <c r="B276" t="s">
        <v>1688</v>
      </c>
      <c r="C276" t="s">
        <v>1709</v>
      </c>
      <c r="D276">
        <v>2023</v>
      </c>
      <c r="E276" t="s">
        <v>1710</v>
      </c>
    </row>
    <row r="277" spans="1:15" x14ac:dyDescent="0.25">
      <c r="A277" t="s">
        <v>425</v>
      </c>
      <c r="B277" t="s">
        <v>1148</v>
      </c>
      <c r="C277" t="s">
        <v>1711</v>
      </c>
      <c r="D277">
        <v>2021</v>
      </c>
      <c r="E277" t="s">
        <v>1712</v>
      </c>
      <c r="F277" t="s">
        <v>1713</v>
      </c>
      <c r="G277">
        <v>35</v>
      </c>
      <c r="I277" t="s">
        <v>1714</v>
      </c>
      <c r="O277" t="s">
        <v>1715</v>
      </c>
    </row>
    <row r="278" spans="1:15" x14ac:dyDescent="0.25">
      <c r="A278" t="s">
        <v>425</v>
      </c>
      <c r="B278" t="s">
        <v>14</v>
      </c>
      <c r="C278" t="s">
        <v>917</v>
      </c>
      <c r="D278">
        <v>2020</v>
      </c>
      <c r="E278" t="s">
        <v>921</v>
      </c>
      <c r="F278" t="s">
        <v>17</v>
      </c>
      <c r="G278">
        <v>8</v>
      </c>
      <c r="I278" t="s">
        <v>918</v>
      </c>
      <c r="M278" t="s">
        <v>920</v>
      </c>
      <c r="O278" t="s">
        <v>1716</v>
      </c>
    </row>
    <row r="279" spans="1:15" x14ac:dyDescent="0.25">
      <c r="A279" t="s">
        <v>40</v>
      </c>
      <c r="B279" t="s">
        <v>34</v>
      </c>
      <c r="D279">
        <v>2022</v>
      </c>
      <c r="E279" t="s">
        <v>1717</v>
      </c>
      <c r="F279" t="s">
        <v>441</v>
      </c>
      <c r="J279" t="s">
        <v>442</v>
      </c>
      <c r="L279" t="s">
        <v>1718</v>
      </c>
      <c r="M279" t="s">
        <v>406</v>
      </c>
      <c r="N279" t="s">
        <v>1719</v>
      </c>
      <c r="O279" t="s">
        <v>1720</v>
      </c>
    </row>
    <row r="280" spans="1:15" x14ac:dyDescent="0.25">
      <c r="A280" t="s">
        <v>40</v>
      </c>
      <c r="B280" t="s">
        <v>34</v>
      </c>
      <c r="C280" t="s">
        <v>525</v>
      </c>
      <c r="D280">
        <v>2023</v>
      </c>
      <c r="E280" t="s">
        <v>528</v>
      </c>
      <c r="F280" t="s">
        <v>493</v>
      </c>
      <c r="J280" t="s">
        <v>442</v>
      </c>
      <c r="L280" t="s">
        <v>1721</v>
      </c>
      <c r="M280" t="s">
        <v>527</v>
      </c>
      <c r="N280" t="s">
        <v>1722</v>
      </c>
      <c r="O280" t="s">
        <v>1723</v>
      </c>
    </row>
    <row r="281" spans="1:15" x14ac:dyDescent="0.25">
      <c r="A281" t="s">
        <v>40</v>
      </c>
      <c r="B281" t="s">
        <v>14</v>
      </c>
      <c r="C281" t="s">
        <v>426</v>
      </c>
      <c r="D281">
        <v>2023</v>
      </c>
      <c r="E281" t="s">
        <v>446</v>
      </c>
      <c r="F281" t="s">
        <v>447</v>
      </c>
      <c r="G281">
        <v>35</v>
      </c>
      <c r="H281">
        <v>30</v>
      </c>
      <c r="I281" t="s">
        <v>428</v>
      </c>
      <c r="J281" t="s">
        <v>448</v>
      </c>
      <c r="L281" t="s">
        <v>449</v>
      </c>
      <c r="M281" t="s">
        <v>429</v>
      </c>
      <c r="N281" t="s">
        <v>450</v>
      </c>
      <c r="O281" t="s">
        <v>451</v>
      </c>
    </row>
    <row r="282" spans="1:15" x14ac:dyDescent="0.25">
      <c r="A282" t="s">
        <v>40</v>
      </c>
      <c r="B282" t="s">
        <v>14</v>
      </c>
      <c r="C282" t="s">
        <v>1139</v>
      </c>
      <c r="D282">
        <v>2022</v>
      </c>
      <c r="E282" t="s">
        <v>1140</v>
      </c>
      <c r="F282" t="s">
        <v>456</v>
      </c>
      <c r="G282">
        <v>22</v>
      </c>
      <c r="H282">
        <v>12</v>
      </c>
      <c r="J282" t="s">
        <v>370</v>
      </c>
      <c r="L282" t="s">
        <v>1724</v>
      </c>
      <c r="M282" t="s">
        <v>1141</v>
      </c>
      <c r="N282" t="s">
        <v>1725</v>
      </c>
      <c r="O282" t="s">
        <v>1726</v>
      </c>
    </row>
    <row r="283" spans="1:15" x14ac:dyDescent="0.25">
      <c r="A283" t="s">
        <v>40</v>
      </c>
      <c r="B283" t="s">
        <v>14</v>
      </c>
      <c r="C283" t="s">
        <v>1727</v>
      </c>
      <c r="D283">
        <v>2023</v>
      </c>
      <c r="E283" t="s">
        <v>1728</v>
      </c>
      <c r="F283" t="s">
        <v>468</v>
      </c>
      <c r="G283">
        <v>44</v>
      </c>
      <c r="H283">
        <v>3</v>
      </c>
      <c r="I283" t="s">
        <v>1729</v>
      </c>
      <c r="J283" t="s">
        <v>466</v>
      </c>
      <c r="L283" t="s">
        <v>1730</v>
      </c>
      <c r="M283" t="s">
        <v>1731</v>
      </c>
      <c r="N283" t="s">
        <v>1732</v>
      </c>
      <c r="O283" t="s">
        <v>1733</v>
      </c>
    </row>
    <row r="284" spans="1:15" x14ac:dyDescent="0.25">
      <c r="A284" t="s">
        <v>40</v>
      </c>
      <c r="B284" t="s">
        <v>130</v>
      </c>
      <c r="C284" t="s">
        <v>1734</v>
      </c>
      <c r="D284">
        <v>2023</v>
      </c>
      <c r="E284" t="s">
        <v>1735</v>
      </c>
      <c r="F284" t="s">
        <v>1736</v>
      </c>
      <c r="I284" t="s">
        <v>1737</v>
      </c>
      <c r="J284" t="s">
        <v>461</v>
      </c>
      <c r="L284" t="s">
        <v>1738</v>
      </c>
      <c r="O284" t="s">
        <v>1739</v>
      </c>
    </row>
    <row r="285" spans="1:15" x14ac:dyDescent="0.25">
      <c r="A285" t="s">
        <v>40</v>
      </c>
      <c r="B285" t="s">
        <v>14</v>
      </c>
      <c r="C285" t="s">
        <v>454</v>
      </c>
      <c r="D285">
        <v>2023</v>
      </c>
      <c r="E285" t="s">
        <v>455</v>
      </c>
      <c r="F285" t="s">
        <v>456</v>
      </c>
      <c r="G285">
        <v>23</v>
      </c>
      <c r="H285">
        <v>2</v>
      </c>
      <c r="J285" t="s">
        <v>370</v>
      </c>
      <c r="L285" t="s">
        <v>457</v>
      </c>
      <c r="M285" t="s">
        <v>458</v>
      </c>
      <c r="N285" t="s">
        <v>459</v>
      </c>
      <c r="O285" t="s">
        <v>460</v>
      </c>
    </row>
    <row r="286" spans="1:15" x14ac:dyDescent="0.25">
      <c r="A286" t="s">
        <v>40</v>
      </c>
      <c r="B286" t="s">
        <v>14</v>
      </c>
      <c r="C286" t="s">
        <v>923</v>
      </c>
      <c r="D286">
        <v>2023</v>
      </c>
      <c r="E286" t="s">
        <v>924</v>
      </c>
      <c r="F286" t="s">
        <v>1740</v>
      </c>
      <c r="G286">
        <v>60</v>
      </c>
      <c r="H286">
        <v>2</v>
      </c>
      <c r="J286" t="s">
        <v>462</v>
      </c>
      <c r="L286" t="s">
        <v>1741</v>
      </c>
      <c r="M286" t="s">
        <v>1146</v>
      </c>
      <c r="N286" t="s">
        <v>1742</v>
      </c>
      <c r="O286" t="s">
        <v>1743</v>
      </c>
    </row>
    <row r="287" spans="1:15" x14ac:dyDescent="0.25">
      <c r="A287" t="s">
        <v>40</v>
      </c>
      <c r="B287" t="s">
        <v>34</v>
      </c>
      <c r="C287" t="s">
        <v>1744</v>
      </c>
      <c r="D287">
        <v>2022</v>
      </c>
      <c r="E287" t="s">
        <v>533</v>
      </c>
      <c r="F287" t="s">
        <v>478</v>
      </c>
      <c r="G287" t="s">
        <v>523</v>
      </c>
      <c r="J287" t="s">
        <v>442</v>
      </c>
      <c r="L287" t="s">
        <v>1745</v>
      </c>
      <c r="M287" t="s">
        <v>532</v>
      </c>
      <c r="N287" t="s">
        <v>1746</v>
      </c>
      <c r="O287" t="s">
        <v>1747</v>
      </c>
    </row>
    <row r="288" spans="1:15" x14ac:dyDescent="0.25">
      <c r="A288" t="s">
        <v>40</v>
      </c>
      <c r="B288" t="s">
        <v>34</v>
      </c>
      <c r="C288" t="s">
        <v>1748</v>
      </c>
      <c r="D288">
        <v>2023</v>
      </c>
      <c r="E288" t="s">
        <v>1749</v>
      </c>
      <c r="F288" t="s">
        <v>231</v>
      </c>
      <c r="G288" t="s">
        <v>1750</v>
      </c>
      <c r="I288" t="s">
        <v>1751</v>
      </c>
      <c r="J288" t="s">
        <v>448</v>
      </c>
      <c r="L288" t="s">
        <v>1752</v>
      </c>
      <c r="M288" t="s">
        <v>1753</v>
      </c>
      <c r="N288" t="s">
        <v>1754</v>
      </c>
      <c r="O288" t="s">
        <v>1755</v>
      </c>
    </row>
    <row r="289" spans="1:15" x14ac:dyDescent="0.25">
      <c r="A289" t="s">
        <v>40</v>
      </c>
      <c r="B289" t="s">
        <v>14</v>
      </c>
      <c r="C289" t="s">
        <v>15</v>
      </c>
      <c r="D289">
        <v>2023</v>
      </c>
      <c r="E289" t="s">
        <v>16</v>
      </c>
      <c r="F289" t="s">
        <v>379</v>
      </c>
      <c r="G289">
        <v>11</v>
      </c>
      <c r="I289" t="s">
        <v>382</v>
      </c>
      <c r="J289" t="s">
        <v>442</v>
      </c>
      <c r="L289" t="s">
        <v>1756</v>
      </c>
      <c r="M289" t="s">
        <v>19</v>
      </c>
      <c r="N289" t="s">
        <v>1757</v>
      </c>
      <c r="O289" t="s">
        <v>1758</v>
      </c>
    </row>
    <row r="290" spans="1:15" x14ac:dyDescent="0.25">
      <c r="A290" t="s">
        <v>40</v>
      </c>
      <c r="B290" t="s">
        <v>14</v>
      </c>
      <c r="C290" t="s">
        <v>1152</v>
      </c>
      <c r="D290">
        <v>2023</v>
      </c>
      <c r="E290" t="s">
        <v>1153</v>
      </c>
      <c r="F290" t="s">
        <v>1759</v>
      </c>
      <c r="G290">
        <v>42</v>
      </c>
      <c r="H290">
        <v>5</v>
      </c>
      <c r="I290" t="s">
        <v>1155</v>
      </c>
      <c r="J290" t="s">
        <v>1760</v>
      </c>
      <c r="L290" t="s">
        <v>1761</v>
      </c>
      <c r="M290" t="s">
        <v>1156</v>
      </c>
      <c r="N290" t="s">
        <v>1762</v>
      </c>
      <c r="O290" t="s">
        <v>1763</v>
      </c>
    </row>
    <row r="291" spans="1:15" x14ac:dyDescent="0.25">
      <c r="A291" t="s">
        <v>40</v>
      </c>
      <c r="B291" t="s">
        <v>34</v>
      </c>
      <c r="C291" t="s">
        <v>536</v>
      </c>
      <c r="D291">
        <v>2022</v>
      </c>
      <c r="E291" t="s">
        <v>540</v>
      </c>
      <c r="F291" t="s">
        <v>1764</v>
      </c>
      <c r="J291" t="s">
        <v>442</v>
      </c>
      <c r="L291" t="s">
        <v>1765</v>
      </c>
      <c r="M291" t="s">
        <v>539</v>
      </c>
      <c r="N291" t="s">
        <v>1766</v>
      </c>
      <c r="O291" t="s">
        <v>1767</v>
      </c>
    </row>
    <row r="292" spans="1:15" x14ac:dyDescent="0.25">
      <c r="A292" t="s">
        <v>40</v>
      </c>
      <c r="B292" t="s">
        <v>14</v>
      </c>
      <c r="C292" t="s">
        <v>1167</v>
      </c>
      <c r="D292">
        <v>2023</v>
      </c>
      <c r="E292" t="s">
        <v>1168</v>
      </c>
      <c r="F292" t="s">
        <v>384</v>
      </c>
      <c r="I292" s="11">
        <v>42005</v>
      </c>
      <c r="J292" t="s">
        <v>442</v>
      </c>
      <c r="L292" t="s">
        <v>1768</v>
      </c>
      <c r="M292" t="s">
        <v>1170</v>
      </c>
      <c r="N292" t="s">
        <v>1769</v>
      </c>
      <c r="O292" t="s">
        <v>1770</v>
      </c>
    </row>
    <row r="293" spans="1:15" x14ac:dyDescent="0.25">
      <c r="A293" t="s">
        <v>40</v>
      </c>
      <c r="B293" t="s">
        <v>34</v>
      </c>
      <c r="C293" t="s">
        <v>1771</v>
      </c>
      <c r="D293">
        <v>2021</v>
      </c>
      <c r="E293" t="s">
        <v>1772</v>
      </c>
      <c r="F293" t="s">
        <v>1773</v>
      </c>
      <c r="G293" t="s">
        <v>1774</v>
      </c>
      <c r="I293" t="s">
        <v>1775</v>
      </c>
      <c r="J293" t="s">
        <v>448</v>
      </c>
      <c r="L293" t="s">
        <v>1776</v>
      </c>
      <c r="M293" t="s">
        <v>1777</v>
      </c>
      <c r="N293" t="s">
        <v>1778</v>
      </c>
      <c r="O293" t="s">
        <v>1779</v>
      </c>
    </row>
    <row r="294" spans="1:15" x14ac:dyDescent="0.25">
      <c r="A294" t="s">
        <v>40</v>
      </c>
      <c r="B294" t="s">
        <v>34</v>
      </c>
      <c r="C294" t="s">
        <v>542</v>
      </c>
      <c r="D294">
        <v>2023</v>
      </c>
      <c r="E294" t="s">
        <v>546</v>
      </c>
      <c r="F294" t="s">
        <v>189</v>
      </c>
      <c r="J294" t="s">
        <v>442</v>
      </c>
      <c r="L294" t="s">
        <v>1780</v>
      </c>
      <c r="M294" t="s">
        <v>545</v>
      </c>
      <c r="N294" t="s">
        <v>1781</v>
      </c>
      <c r="O294" t="s">
        <v>1782</v>
      </c>
    </row>
    <row r="295" spans="1:15" x14ac:dyDescent="0.25">
      <c r="A295" t="s">
        <v>40</v>
      </c>
      <c r="B295" t="s">
        <v>14</v>
      </c>
      <c r="C295" t="s">
        <v>1172</v>
      </c>
      <c r="D295">
        <v>2023</v>
      </c>
      <c r="E295" t="s">
        <v>1173</v>
      </c>
      <c r="F295" t="s">
        <v>470</v>
      </c>
      <c r="G295">
        <v>9</v>
      </c>
      <c r="H295">
        <v>2</v>
      </c>
      <c r="J295" t="s">
        <v>370</v>
      </c>
      <c r="L295" t="s">
        <v>1783</v>
      </c>
      <c r="M295" t="s">
        <v>1175</v>
      </c>
      <c r="N295" t="s">
        <v>1784</v>
      </c>
      <c r="O295" t="s">
        <v>1785</v>
      </c>
    </row>
    <row r="296" spans="1:15" x14ac:dyDescent="0.25">
      <c r="A296" t="s">
        <v>40</v>
      </c>
      <c r="B296" t="s">
        <v>34</v>
      </c>
      <c r="C296" t="s">
        <v>35</v>
      </c>
      <c r="D296">
        <v>2023</v>
      </c>
      <c r="E296" t="s">
        <v>36</v>
      </c>
      <c r="F296" t="s">
        <v>37</v>
      </c>
      <c r="J296" t="s">
        <v>442</v>
      </c>
      <c r="L296" t="s">
        <v>39</v>
      </c>
      <c r="M296" t="s">
        <v>38</v>
      </c>
      <c r="N296" t="s">
        <v>1786</v>
      </c>
      <c r="O296" t="s">
        <v>1787</v>
      </c>
    </row>
    <row r="297" spans="1:15" x14ac:dyDescent="0.25">
      <c r="A297" t="s">
        <v>40</v>
      </c>
      <c r="B297" t="s">
        <v>14</v>
      </c>
      <c r="C297" t="s">
        <v>42</v>
      </c>
      <c r="D297">
        <v>2021</v>
      </c>
      <c r="E297" t="s">
        <v>43</v>
      </c>
      <c r="F297" t="s">
        <v>490</v>
      </c>
      <c r="G297">
        <v>7</v>
      </c>
      <c r="I297" s="11">
        <v>43101</v>
      </c>
      <c r="J297" t="s">
        <v>491</v>
      </c>
      <c r="L297" t="s">
        <v>1788</v>
      </c>
      <c r="M297" t="s">
        <v>46</v>
      </c>
      <c r="N297" t="s">
        <v>1789</v>
      </c>
      <c r="O297" t="s">
        <v>1790</v>
      </c>
    </row>
    <row r="298" spans="1:15" x14ac:dyDescent="0.25">
      <c r="A298" t="s">
        <v>40</v>
      </c>
      <c r="B298" t="s">
        <v>14</v>
      </c>
      <c r="C298" t="s">
        <v>945</v>
      </c>
      <c r="D298">
        <v>2024</v>
      </c>
      <c r="E298" t="s">
        <v>1791</v>
      </c>
      <c r="F298" t="s">
        <v>116</v>
      </c>
      <c r="G298">
        <v>170</v>
      </c>
      <c r="J298" t="s">
        <v>462</v>
      </c>
      <c r="L298" t="s">
        <v>1792</v>
      </c>
      <c r="M298" t="s">
        <v>1793</v>
      </c>
      <c r="N298" t="s">
        <v>1794</v>
      </c>
      <c r="O298" t="s">
        <v>1795</v>
      </c>
    </row>
    <row r="299" spans="1:15" x14ac:dyDescent="0.25">
      <c r="A299" t="s">
        <v>40</v>
      </c>
      <c r="B299" t="s">
        <v>34</v>
      </c>
      <c r="C299" t="s">
        <v>1181</v>
      </c>
      <c r="D299">
        <v>2021</v>
      </c>
      <c r="E299" t="s">
        <v>1182</v>
      </c>
      <c r="F299" t="s">
        <v>231</v>
      </c>
      <c r="G299" t="s">
        <v>1796</v>
      </c>
      <c r="I299" t="s">
        <v>1184</v>
      </c>
      <c r="J299" t="s">
        <v>448</v>
      </c>
      <c r="L299" t="s">
        <v>1797</v>
      </c>
      <c r="M299" t="s">
        <v>1185</v>
      </c>
      <c r="N299" t="s">
        <v>1798</v>
      </c>
      <c r="O299" t="s">
        <v>1799</v>
      </c>
    </row>
    <row r="300" spans="1:15" x14ac:dyDescent="0.25">
      <c r="A300" t="s">
        <v>40</v>
      </c>
      <c r="B300" t="s">
        <v>34</v>
      </c>
      <c r="C300" t="s">
        <v>51</v>
      </c>
      <c r="D300">
        <v>2022</v>
      </c>
      <c r="E300" t="s">
        <v>52</v>
      </c>
      <c r="F300" t="s">
        <v>53</v>
      </c>
      <c r="I300" t="s">
        <v>558</v>
      </c>
      <c r="J300" t="s">
        <v>442</v>
      </c>
      <c r="L300" t="s">
        <v>55</v>
      </c>
      <c r="M300" t="s">
        <v>54</v>
      </c>
      <c r="N300" t="s">
        <v>1800</v>
      </c>
      <c r="O300" t="s">
        <v>1801</v>
      </c>
    </row>
    <row r="301" spans="1:15" x14ac:dyDescent="0.25">
      <c r="A301" t="s">
        <v>40</v>
      </c>
      <c r="B301" t="s">
        <v>34</v>
      </c>
      <c r="C301" t="s">
        <v>385</v>
      </c>
      <c r="D301">
        <v>2023</v>
      </c>
      <c r="E301" t="s">
        <v>386</v>
      </c>
      <c r="F301" t="s">
        <v>473</v>
      </c>
      <c r="I301" t="s">
        <v>388</v>
      </c>
      <c r="J301" t="s">
        <v>442</v>
      </c>
      <c r="L301" t="s">
        <v>474</v>
      </c>
      <c r="M301" t="s">
        <v>389</v>
      </c>
      <c r="N301" t="s">
        <v>475</v>
      </c>
      <c r="O301" t="s">
        <v>476</v>
      </c>
    </row>
    <row r="302" spans="1:15" x14ac:dyDescent="0.25">
      <c r="A302" t="s">
        <v>40</v>
      </c>
      <c r="B302" t="s">
        <v>14</v>
      </c>
      <c r="C302" t="s">
        <v>65</v>
      </c>
      <c r="D302">
        <v>2022</v>
      </c>
      <c r="E302" t="s">
        <v>66</v>
      </c>
      <c r="F302" t="s">
        <v>67</v>
      </c>
      <c r="G302">
        <v>12</v>
      </c>
      <c r="H302">
        <v>3</v>
      </c>
      <c r="J302" t="s">
        <v>370</v>
      </c>
      <c r="L302" t="s">
        <v>69</v>
      </c>
      <c r="M302" t="s">
        <v>68</v>
      </c>
      <c r="N302" t="s">
        <v>1802</v>
      </c>
      <c r="O302" t="s">
        <v>1803</v>
      </c>
    </row>
    <row r="303" spans="1:15" x14ac:dyDescent="0.25">
      <c r="A303" t="s">
        <v>40</v>
      </c>
      <c r="B303" t="s">
        <v>34</v>
      </c>
      <c r="C303" t="s">
        <v>569</v>
      </c>
      <c r="D303">
        <v>2023</v>
      </c>
      <c r="E303" t="s">
        <v>574</v>
      </c>
      <c r="F303" t="s">
        <v>1804</v>
      </c>
      <c r="I303" t="s">
        <v>571</v>
      </c>
      <c r="J303" t="s">
        <v>442</v>
      </c>
      <c r="L303" t="s">
        <v>1805</v>
      </c>
      <c r="M303" t="s">
        <v>573</v>
      </c>
      <c r="O303" t="s">
        <v>1806</v>
      </c>
    </row>
    <row r="304" spans="1:15" x14ac:dyDescent="0.25">
      <c r="A304" t="s">
        <v>40</v>
      </c>
      <c r="B304" t="s">
        <v>34</v>
      </c>
      <c r="C304" t="s">
        <v>576</v>
      </c>
      <c r="D304">
        <v>2021</v>
      </c>
      <c r="E304" t="s">
        <v>580</v>
      </c>
      <c r="F304" t="s">
        <v>1807</v>
      </c>
      <c r="J304" t="s">
        <v>442</v>
      </c>
      <c r="L304" t="s">
        <v>1808</v>
      </c>
      <c r="M304" t="s">
        <v>579</v>
      </c>
      <c r="N304" t="s">
        <v>1809</v>
      </c>
      <c r="O304" t="s">
        <v>1810</v>
      </c>
    </row>
    <row r="305" spans="1:15" x14ac:dyDescent="0.25">
      <c r="A305" t="s">
        <v>40</v>
      </c>
      <c r="B305" t="s">
        <v>34</v>
      </c>
      <c r="C305" t="s">
        <v>1811</v>
      </c>
      <c r="D305">
        <v>2023</v>
      </c>
      <c r="E305" t="s">
        <v>1812</v>
      </c>
      <c r="F305" t="s">
        <v>1773</v>
      </c>
      <c r="G305" t="s">
        <v>1813</v>
      </c>
      <c r="I305" t="s">
        <v>1814</v>
      </c>
      <c r="J305" t="s">
        <v>448</v>
      </c>
      <c r="L305" t="s">
        <v>1815</v>
      </c>
      <c r="M305" t="s">
        <v>1816</v>
      </c>
      <c r="N305" t="s">
        <v>1817</v>
      </c>
      <c r="O305" t="s">
        <v>1818</v>
      </c>
    </row>
    <row r="306" spans="1:15" x14ac:dyDescent="0.25">
      <c r="A306" t="s">
        <v>40</v>
      </c>
      <c r="B306" t="s">
        <v>14</v>
      </c>
      <c r="C306" t="s">
        <v>74</v>
      </c>
      <c r="D306">
        <v>2022</v>
      </c>
      <c r="E306" t="s">
        <v>75</v>
      </c>
      <c r="F306" t="s">
        <v>76</v>
      </c>
      <c r="G306">
        <v>3</v>
      </c>
      <c r="H306">
        <v>3</v>
      </c>
      <c r="J306" t="s">
        <v>503</v>
      </c>
      <c r="L306" t="s">
        <v>78</v>
      </c>
      <c r="M306" t="s">
        <v>77</v>
      </c>
      <c r="N306" t="s">
        <v>1819</v>
      </c>
      <c r="O306" t="s">
        <v>1820</v>
      </c>
    </row>
    <row r="307" spans="1:15" x14ac:dyDescent="0.25">
      <c r="A307" t="s">
        <v>40</v>
      </c>
      <c r="B307" t="s">
        <v>14</v>
      </c>
      <c r="C307" t="s">
        <v>483</v>
      </c>
      <c r="D307">
        <v>2021</v>
      </c>
      <c r="E307" t="s">
        <v>484</v>
      </c>
      <c r="F307" t="s">
        <v>456</v>
      </c>
      <c r="G307">
        <v>21</v>
      </c>
      <c r="H307">
        <v>16</v>
      </c>
      <c r="J307" t="s">
        <v>463</v>
      </c>
      <c r="L307" t="s">
        <v>485</v>
      </c>
      <c r="M307" t="s">
        <v>226</v>
      </c>
      <c r="N307" t="s">
        <v>486</v>
      </c>
      <c r="O307" t="s">
        <v>487</v>
      </c>
    </row>
    <row r="308" spans="1:15" x14ac:dyDescent="0.25">
      <c r="A308" t="s">
        <v>40</v>
      </c>
      <c r="B308" t="s">
        <v>34</v>
      </c>
      <c r="C308" t="s">
        <v>1821</v>
      </c>
      <c r="D308">
        <v>2022</v>
      </c>
      <c r="E308" t="s">
        <v>1822</v>
      </c>
      <c r="F308" t="s">
        <v>1773</v>
      </c>
      <c r="G308" t="s">
        <v>1823</v>
      </c>
      <c r="I308" t="s">
        <v>1824</v>
      </c>
      <c r="J308" t="s">
        <v>448</v>
      </c>
      <c r="L308" t="s">
        <v>1825</v>
      </c>
      <c r="M308" t="s">
        <v>1826</v>
      </c>
      <c r="N308" t="s">
        <v>1827</v>
      </c>
      <c r="O308" t="s">
        <v>1828</v>
      </c>
    </row>
    <row r="309" spans="1:15" x14ac:dyDescent="0.25">
      <c r="A309" t="s">
        <v>40</v>
      </c>
      <c r="B309" t="s">
        <v>14</v>
      </c>
      <c r="C309" t="s">
        <v>1209</v>
      </c>
      <c r="D309">
        <v>2021</v>
      </c>
      <c r="E309" t="s">
        <v>1210</v>
      </c>
      <c r="F309" t="s">
        <v>1829</v>
      </c>
      <c r="G309">
        <v>31</v>
      </c>
      <c r="H309">
        <v>2</v>
      </c>
      <c r="I309" t="s">
        <v>1212</v>
      </c>
      <c r="J309" t="s">
        <v>469</v>
      </c>
      <c r="L309" t="s">
        <v>1830</v>
      </c>
      <c r="M309" t="s">
        <v>1213</v>
      </c>
      <c r="N309" t="s">
        <v>1831</v>
      </c>
      <c r="O309" t="s">
        <v>1832</v>
      </c>
    </row>
    <row r="310" spans="1:15" x14ac:dyDescent="0.25">
      <c r="A310" t="s">
        <v>40</v>
      </c>
      <c r="B310" t="s">
        <v>14</v>
      </c>
      <c r="C310" t="s">
        <v>582</v>
      </c>
      <c r="D310">
        <v>2022</v>
      </c>
      <c r="E310" t="s">
        <v>1833</v>
      </c>
      <c r="F310" t="s">
        <v>391</v>
      </c>
      <c r="G310">
        <v>26</v>
      </c>
      <c r="H310">
        <v>4</v>
      </c>
      <c r="I310" t="s">
        <v>583</v>
      </c>
      <c r="J310" t="s">
        <v>442</v>
      </c>
      <c r="L310" t="s">
        <v>1834</v>
      </c>
      <c r="M310" t="s">
        <v>585</v>
      </c>
      <c r="N310" t="s">
        <v>1835</v>
      </c>
      <c r="O310" t="s">
        <v>1836</v>
      </c>
    </row>
    <row r="311" spans="1:15" x14ac:dyDescent="0.25">
      <c r="A311" t="s">
        <v>40</v>
      </c>
      <c r="B311" t="s">
        <v>34</v>
      </c>
      <c r="C311" t="s">
        <v>1837</v>
      </c>
      <c r="D311">
        <v>2023</v>
      </c>
      <c r="E311" t="s">
        <v>1838</v>
      </c>
      <c r="F311" t="s">
        <v>1773</v>
      </c>
      <c r="G311" t="s">
        <v>1839</v>
      </c>
      <c r="I311" t="s">
        <v>1840</v>
      </c>
      <c r="J311" t="s">
        <v>448</v>
      </c>
      <c r="L311" t="s">
        <v>1841</v>
      </c>
      <c r="M311" t="s">
        <v>1842</v>
      </c>
      <c r="N311" t="s">
        <v>1843</v>
      </c>
      <c r="O311" t="s">
        <v>1844</v>
      </c>
    </row>
    <row r="312" spans="1:15" x14ac:dyDescent="0.25">
      <c r="A312" t="s">
        <v>40</v>
      </c>
      <c r="B312" t="s">
        <v>34</v>
      </c>
      <c r="C312" t="s">
        <v>1845</v>
      </c>
      <c r="D312">
        <v>2023</v>
      </c>
      <c r="E312" t="s">
        <v>1846</v>
      </c>
      <c r="F312" t="s">
        <v>81</v>
      </c>
      <c r="G312" t="s">
        <v>1847</v>
      </c>
      <c r="I312" t="s">
        <v>1848</v>
      </c>
      <c r="J312" t="s">
        <v>448</v>
      </c>
      <c r="L312" t="s">
        <v>1849</v>
      </c>
      <c r="M312" t="s">
        <v>1850</v>
      </c>
      <c r="N312" t="s">
        <v>1851</v>
      </c>
      <c r="O312" t="s">
        <v>1852</v>
      </c>
    </row>
    <row r="313" spans="1:15" x14ac:dyDescent="0.25">
      <c r="A313" t="s">
        <v>40</v>
      </c>
      <c r="B313" t="s">
        <v>34</v>
      </c>
      <c r="C313" t="s">
        <v>79</v>
      </c>
      <c r="D313">
        <v>2021</v>
      </c>
      <c r="E313" t="s">
        <v>80</v>
      </c>
      <c r="F313" t="s">
        <v>81</v>
      </c>
      <c r="G313" t="s">
        <v>1853</v>
      </c>
      <c r="I313" t="s">
        <v>1854</v>
      </c>
      <c r="J313" t="s">
        <v>448</v>
      </c>
      <c r="L313" t="s">
        <v>83</v>
      </c>
      <c r="M313" t="s">
        <v>82</v>
      </c>
      <c r="N313" t="s">
        <v>1855</v>
      </c>
      <c r="O313" t="s">
        <v>1856</v>
      </c>
    </row>
    <row r="314" spans="1:15" x14ac:dyDescent="0.25">
      <c r="A314" t="s">
        <v>40</v>
      </c>
      <c r="B314" t="s">
        <v>14</v>
      </c>
      <c r="C314" t="s">
        <v>1857</v>
      </c>
      <c r="D314">
        <v>2024</v>
      </c>
      <c r="E314" t="s">
        <v>1217</v>
      </c>
      <c r="F314" t="s">
        <v>447</v>
      </c>
      <c r="G314">
        <v>36</v>
      </c>
      <c r="H314">
        <v>4</v>
      </c>
      <c r="I314" t="s">
        <v>1218</v>
      </c>
      <c r="J314" t="s">
        <v>448</v>
      </c>
      <c r="L314" t="s">
        <v>1858</v>
      </c>
      <c r="M314" t="s">
        <v>1219</v>
      </c>
      <c r="N314" t="s">
        <v>1859</v>
      </c>
      <c r="O314" t="s">
        <v>1860</v>
      </c>
    </row>
    <row r="315" spans="1:15" x14ac:dyDescent="0.25">
      <c r="A315" t="s">
        <v>40</v>
      </c>
      <c r="B315" t="s">
        <v>14</v>
      </c>
      <c r="C315" t="s">
        <v>977</v>
      </c>
      <c r="D315">
        <v>2022</v>
      </c>
      <c r="E315" t="s">
        <v>978</v>
      </c>
      <c r="F315" t="s">
        <v>979</v>
      </c>
      <c r="G315">
        <v>199</v>
      </c>
      <c r="J315" t="s">
        <v>452</v>
      </c>
      <c r="L315" t="s">
        <v>1861</v>
      </c>
      <c r="M315" t="s">
        <v>1227</v>
      </c>
      <c r="N315" t="s">
        <v>1862</v>
      </c>
      <c r="O315" t="s">
        <v>1863</v>
      </c>
    </row>
    <row r="316" spans="1:15" x14ac:dyDescent="0.25">
      <c r="A316" t="s">
        <v>40</v>
      </c>
      <c r="B316" t="s">
        <v>34</v>
      </c>
      <c r="C316" t="s">
        <v>1864</v>
      </c>
      <c r="D316">
        <v>2022</v>
      </c>
      <c r="E316" t="s">
        <v>1865</v>
      </c>
      <c r="F316" t="s">
        <v>184</v>
      </c>
      <c r="G316">
        <v>12287</v>
      </c>
      <c r="J316" t="s">
        <v>502</v>
      </c>
      <c r="L316" t="s">
        <v>1866</v>
      </c>
      <c r="M316" t="s">
        <v>1867</v>
      </c>
      <c r="N316" t="s">
        <v>1868</v>
      </c>
      <c r="O316" t="s">
        <v>1869</v>
      </c>
    </row>
    <row r="317" spans="1:15" x14ac:dyDescent="0.25">
      <c r="A317" t="s">
        <v>40</v>
      </c>
      <c r="B317" t="s">
        <v>34</v>
      </c>
      <c r="C317" t="s">
        <v>1870</v>
      </c>
      <c r="D317">
        <v>2023</v>
      </c>
      <c r="E317" t="s">
        <v>1871</v>
      </c>
      <c r="F317" t="s">
        <v>1773</v>
      </c>
      <c r="G317" t="s">
        <v>1872</v>
      </c>
      <c r="I317" t="s">
        <v>1873</v>
      </c>
      <c r="J317" t="s">
        <v>448</v>
      </c>
      <c r="L317" t="s">
        <v>1874</v>
      </c>
      <c r="M317" t="s">
        <v>1875</v>
      </c>
      <c r="N317" t="s">
        <v>1876</v>
      </c>
      <c r="O317" t="s">
        <v>1877</v>
      </c>
    </row>
    <row r="318" spans="1:15" x14ac:dyDescent="0.25">
      <c r="A318" t="s">
        <v>40</v>
      </c>
      <c r="B318" t="s">
        <v>34</v>
      </c>
      <c r="C318" t="s">
        <v>494</v>
      </c>
      <c r="D318">
        <v>2023</v>
      </c>
      <c r="E318" t="s">
        <v>495</v>
      </c>
      <c r="F318" t="s">
        <v>496</v>
      </c>
      <c r="G318" t="s">
        <v>467</v>
      </c>
      <c r="I318" t="s">
        <v>497</v>
      </c>
      <c r="J318" t="s">
        <v>498</v>
      </c>
      <c r="L318" t="s">
        <v>499</v>
      </c>
      <c r="N318" t="s">
        <v>500</v>
      </c>
      <c r="O318" t="s">
        <v>501</v>
      </c>
    </row>
    <row r="319" spans="1:15" x14ac:dyDescent="0.25">
      <c r="A319" t="s">
        <v>40</v>
      </c>
      <c r="B319" t="s">
        <v>34</v>
      </c>
      <c r="C319" t="s">
        <v>92</v>
      </c>
      <c r="D319">
        <v>2023</v>
      </c>
      <c r="E319" t="s">
        <v>93</v>
      </c>
      <c r="F319" t="s">
        <v>94</v>
      </c>
      <c r="I319" t="s">
        <v>592</v>
      </c>
      <c r="J319" t="s">
        <v>442</v>
      </c>
      <c r="L319" t="s">
        <v>96</v>
      </c>
      <c r="M319" t="s">
        <v>95</v>
      </c>
      <c r="N319" t="s">
        <v>1878</v>
      </c>
      <c r="O319" t="s">
        <v>1879</v>
      </c>
    </row>
    <row r="320" spans="1:15" x14ac:dyDescent="0.25">
      <c r="A320" t="s">
        <v>40</v>
      </c>
      <c r="B320" t="s">
        <v>34</v>
      </c>
      <c r="C320" t="s">
        <v>595</v>
      </c>
      <c r="D320">
        <v>2022</v>
      </c>
      <c r="E320" t="s">
        <v>600</v>
      </c>
      <c r="F320" t="s">
        <v>477</v>
      </c>
      <c r="G320" t="s">
        <v>1880</v>
      </c>
      <c r="I320" t="s">
        <v>597</v>
      </c>
      <c r="J320" t="s">
        <v>442</v>
      </c>
      <c r="L320" t="s">
        <v>1881</v>
      </c>
      <c r="M320" t="s">
        <v>599</v>
      </c>
      <c r="N320" t="s">
        <v>1882</v>
      </c>
      <c r="O320" t="s">
        <v>1883</v>
      </c>
    </row>
    <row r="321" spans="1:15" x14ac:dyDescent="0.25">
      <c r="A321" t="s">
        <v>40</v>
      </c>
      <c r="B321" t="s">
        <v>14</v>
      </c>
      <c r="C321" t="s">
        <v>1884</v>
      </c>
      <c r="D321">
        <v>2021</v>
      </c>
      <c r="E321" t="s">
        <v>607</v>
      </c>
      <c r="F321" t="s">
        <v>603</v>
      </c>
      <c r="G321">
        <v>6</v>
      </c>
      <c r="H321">
        <v>2</v>
      </c>
      <c r="I321" t="s">
        <v>604</v>
      </c>
      <c r="J321" t="s">
        <v>442</v>
      </c>
      <c r="L321" t="s">
        <v>1885</v>
      </c>
      <c r="M321" t="s">
        <v>606</v>
      </c>
      <c r="N321" t="s">
        <v>1886</v>
      </c>
      <c r="O321" t="s">
        <v>1887</v>
      </c>
    </row>
    <row r="322" spans="1:15" x14ac:dyDescent="0.25">
      <c r="A322" t="s">
        <v>40</v>
      </c>
      <c r="B322" t="s">
        <v>14</v>
      </c>
      <c r="C322" t="s">
        <v>1888</v>
      </c>
      <c r="D322">
        <v>2023</v>
      </c>
      <c r="E322" t="s">
        <v>1256</v>
      </c>
      <c r="F322" t="s">
        <v>479</v>
      </c>
      <c r="G322">
        <v>12</v>
      </c>
      <c r="H322">
        <v>13</v>
      </c>
      <c r="J322" t="s">
        <v>471</v>
      </c>
      <c r="L322" t="s">
        <v>1889</v>
      </c>
      <c r="M322" t="s">
        <v>1258</v>
      </c>
      <c r="N322" t="s">
        <v>1890</v>
      </c>
      <c r="O322" t="s">
        <v>1891</v>
      </c>
    </row>
    <row r="323" spans="1:15" x14ac:dyDescent="0.25">
      <c r="A323" t="s">
        <v>40</v>
      </c>
      <c r="B323" t="s">
        <v>34</v>
      </c>
      <c r="C323" t="s">
        <v>1892</v>
      </c>
      <c r="D323">
        <v>2023</v>
      </c>
      <c r="E323" t="s">
        <v>1893</v>
      </c>
      <c r="F323" t="s">
        <v>1894</v>
      </c>
      <c r="I323" t="s">
        <v>408</v>
      </c>
      <c r="J323" t="s">
        <v>1895</v>
      </c>
      <c r="L323" t="s">
        <v>1896</v>
      </c>
      <c r="N323" t="s">
        <v>1897</v>
      </c>
      <c r="O323" t="s">
        <v>1898</v>
      </c>
    </row>
    <row r="324" spans="1:15" x14ac:dyDescent="0.25">
      <c r="A324" t="s">
        <v>40</v>
      </c>
      <c r="B324" t="s">
        <v>34</v>
      </c>
      <c r="C324" t="s">
        <v>1270</v>
      </c>
      <c r="D324">
        <v>2022</v>
      </c>
      <c r="E324" t="s">
        <v>1899</v>
      </c>
      <c r="F324" t="s">
        <v>231</v>
      </c>
      <c r="G324" t="s">
        <v>1900</v>
      </c>
      <c r="I324" t="s">
        <v>1273</v>
      </c>
      <c r="J324" t="s">
        <v>448</v>
      </c>
      <c r="L324" t="s">
        <v>1901</v>
      </c>
      <c r="M324" t="s">
        <v>1274</v>
      </c>
      <c r="N324" t="s">
        <v>1902</v>
      </c>
      <c r="O324" t="s">
        <v>1903</v>
      </c>
    </row>
    <row r="325" spans="1:15" x14ac:dyDescent="0.25">
      <c r="A325" t="s">
        <v>40</v>
      </c>
      <c r="B325" t="s">
        <v>34</v>
      </c>
      <c r="C325" t="s">
        <v>1904</v>
      </c>
      <c r="D325">
        <v>2022</v>
      </c>
      <c r="E325" t="s">
        <v>1905</v>
      </c>
      <c r="F325" t="s">
        <v>1906</v>
      </c>
      <c r="J325" t="s">
        <v>1907</v>
      </c>
      <c r="L325" t="s">
        <v>1908</v>
      </c>
      <c r="N325" t="s">
        <v>1909</v>
      </c>
      <c r="O325" t="s">
        <v>1910</v>
      </c>
    </row>
    <row r="326" spans="1:15" x14ac:dyDescent="0.25">
      <c r="A326" t="s">
        <v>40</v>
      </c>
      <c r="B326" t="s">
        <v>34</v>
      </c>
      <c r="C326" t="s">
        <v>609</v>
      </c>
      <c r="D326">
        <v>2023</v>
      </c>
      <c r="E326" t="s">
        <v>613</v>
      </c>
      <c r="F326" t="s">
        <v>1911</v>
      </c>
      <c r="J326" t="s">
        <v>442</v>
      </c>
      <c r="L326" t="s">
        <v>1912</v>
      </c>
      <c r="M326" t="s">
        <v>612</v>
      </c>
      <c r="N326" t="s">
        <v>1913</v>
      </c>
      <c r="O326" t="s">
        <v>1914</v>
      </c>
    </row>
    <row r="327" spans="1:15" x14ac:dyDescent="0.25">
      <c r="A327" t="s">
        <v>40</v>
      </c>
      <c r="B327" t="s">
        <v>14</v>
      </c>
      <c r="C327" t="s">
        <v>98</v>
      </c>
      <c r="D327">
        <v>2024</v>
      </c>
      <c r="E327" t="s">
        <v>99</v>
      </c>
      <c r="F327" t="s">
        <v>116</v>
      </c>
      <c r="G327">
        <v>170</v>
      </c>
      <c r="J327" t="s">
        <v>462</v>
      </c>
      <c r="L327" t="s">
        <v>1915</v>
      </c>
      <c r="M327" t="s">
        <v>102</v>
      </c>
      <c r="N327" t="s">
        <v>1916</v>
      </c>
      <c r="O327" t="s">
        <v>1917</v>
      </c>
    </row>
    <row r="328" spans="1:15" x14ac:dyDescent="0.25">
      <c r="A328" t="s">
        <v>40</v>
      </c>
      <c r="B328" t="s">
        <v>34</v>
      </c>
      <c r="C328" t="s">
        <v>1296</v>
      </c>
      <c r="D328">
        <v>2023</v>
      </c>
      <c r="E328" t="s">
        <v>1297</v>
      </c>
      <c r="F328" t="s">
        <v>1918</v>
      </c>
      <c r="I328" t="s">
        <v>1299</v>
      </c>
      <c r="J328" t="s">
        <v>512</v>
      </c>
      <c r="L328" t="s">
        <v>1919</v>
      </c>
      <c r="M328" t="s">
        <v>1300</v>
      </c>
      <c r="N328" t="s">
        <v>1920</v>
      </c>
      <c r="O328" t="s">
        <v>1921</v>
      </c>
    </row>
    <row r="329" spans="1:15" x14ac:dyDescent="0.25">
      <c r="A329" t="s">
        <v>40</v>
      </c>
      <c r="B329" t="s">
        <v>34</v>
      </c>
      <c r="C329" t="s">
        <v>107</v>
      </c>
      <c r="D329">
        <v>2021</v>
      </c>
      <c r="E329" t="s">
        <v>108</v>
      </c>
      <c r="F329" t="s">
        <v>109</v>
      </c>
      <c r="I329" t="s">
        <v>616</v>
      </c>
      <c r="J329" t="s">
        <v>442</v>
      </c>
      <c r="L329" t="s">
        <v>111</v>
      </c>
      <c r="M329" t="s">
        <v>110</v>
      </c>
      <c r="N329" t="s">
        <v>1922</v>
      </c>
      <c r="O329" t="s">
        <v>1923</v>
      </c>
    </row>
    <row r="330" spans="1:15" x14ac:dyDescent="0.25">
      <c r="A330" t="s">
        <v>40</v>
      </c>
      <c r="B330" t="s">
        <v>14</v>
      </c>
      <c r="C330" t="s">
        <v>1924</v>
      </c>
      <c r="D330">
        <v>2024</v>
      </c>
      <c r="E330" t="s">
        <v>1925</v>
      </c>
      <c r="F330" t="s">
        <v>1926</v>
      </c>
      <c r="G330">
        <v>21</v>
      </c>
      <c r="H330">
        <v>2</v>
      </c>
      <c r="J330" t="s">
        <v>1927</v>
      </c>
      <c r="L330" t="s">
        <v>1928</v>
      </c>
      <c r="M330" t="s">
        <v>1929</v>
      </c>
      <c r="N330" t="s">
        <v>1930</v>
      </c>
      <c r="O330" t="s">
        <v>1931</v>
      </c>
    </row>
    <row r="331" spans="1:15" x14ac:dyDescent="0.25">
      <c r="A331" t="s">
        <v>40</v>
      </c>
      <c r="B331" t="s">
        <v>14</v>
      </c>
      <c r="C331" t="s">
        <v>122</v>
      </c>
      <c r="D331">
        <v>2021</v>
      </c>
      <c r="E331" t="s">
        <v>123</v>
      </c>
      <c r="F331" t="s">
        <v>379</v>
      </c>
      <c r="G331">
        <v>9</v>
      </c>
      <c r="I331" t="s">
        <v>392</v>
      </c>
      <c r="J331" t="s">
        <v>442</v>
      </c>
      <c r="L331" t="s">
        <v>1932</v>
      </c>
      <c r="M331" t="s">
        <v>125</v>
      </c>
      <c r="N331" t="s">
        <v>1933</v>
      </c>
      <c r="O331" t="s">
        <v>1934</v>
      </c>
    </row>
    <row r="332" spans="1:15" x14ac:dyDescent="0.25">
      <c r="A332" t="s">
        <v>40</v>
      </c>
      <c r="B332" t="s">
        <v>130</v>
      </c>
      <c r="C332" t="s">
        <v>131</v>
      </c>
      <c r="D332">
        <v>2023</v>
      </c>
      <c r="E332" t="s">
        <v>132</v>
      </c>
      <c r="F332" t="s">
        <v>133</v>
      </c>
      <c r="I332" t="s">
        <v>1935</v>
      </c>
      <c r="J332" t="s">
        <v>464</v>
      </c>
      <c r="L332" t="s">
        <v>134</v>
      </c>
    </row>
    <row r="333" spans="1:15" x14ac:dyDescent="0.25">
      <c r="A333" t="s">
        <v>40</v>
      </c>
      <c r="B333" t="s">
        <v>34</v>
      </c>
      <c r="C333" t="s">
        <v>1936</v>
      </c>
      <c r="D333">
        <v>2023</v>
      </c>
      <c r="E333" t="s">
        <v>1937</v>
      </c>
      <c r="F333" t="s">
        <v>1773</v>
      </c>
      <c r="G333" t="s">
        <v>1938</v>
      </c>
      <c r="I333" t="s">
        <v>1939</v>
      </c>
      <c r="J333" t="s">
        <v>448</v>
      </c>
      <c r="L333" t="s">
        <v>1940</v>
      </c>
      <c r="M333" t="s">
        <v>1941</v>
      </c>
      <c r="N333" t="s">
        <v>1942</v>
      </c>
      <c r="O333" t="s">
        <v>1943</v>
      </c>
    </row>
    <row r="334" spans="1:15" x14ac:dyDescent="0.25">
      <c r="A334" t="s">
        <v>40</v>
      </c>
      <c r="B334" t="s">
        <v>34</v>
      </c>
      <c r="C334" t="s">
        <v>394</v>
      </c>
      <c r="D334">
        <v>2022</v>
      </c>
      <c r="E334" t="s">
        <v>395</v>
      </c>
      <c r="F334" t="s">
        <v>504</v>
      </c>
      <c r="I334" t="s">
        <v>397</v>
      </c>
      <c r="J334" t="s">
        <v>442</v>
      </c>
      <c r="L334" t="s">
        <v>505</v>
      </c>
      <c r="M334" t="s">
        <v>398</v>
      </c>
      <c r="N334" t="s">
        <v>506</v>
      </c>
      <c r="O334" t="s">
        <v>507</v>
      </c>
    </row>
    <row r="335" spans="1:15" x14ac:dyDescent="0.25">
      <c r="A335" t="s">
        <v>40</v>
      </c>
      <c r="B335" t="s">
        <v>14</v>
      </c>
      <c r="C335" t="s">
        <v>135</v>
      </c>
      <c r="D335">
        <v>2023</v>
      </c>
      <c r="E335" t="s">
        <v>136</v>
      </c>
      <c r="F335" t="s">
        <v>1944</v>
      </c>
      <c r="J335" t="s">
        <v>503</v>
      </c>
      <c r="L335" t="s">
        <v>1945</v>
      </c>
      <c r="M335" t="s">
        <v>138</v>
      </c>
      <c r="N335" t="s">
        <v>1946</v>
      </c>
      <c r="O335" t="s">
        <v>1947</v>
      </c>
    </row>
    <row r="336" spans="1:15" x14ac:dyDescent="0.25">
      <c r="A336" t="s">
        <v>40</v>
      </c>
      <c r="B336" t="s">
        <v>14</v>
      </c>
      <c r="C336" t="s">
        <v>1948</v>
      </c>
      <c r="D336">
        <v>2021</v>
      </c>
      <c r="E336" t="s">
        <v>1949</v>
      </c>
      <c r="F336" t="s">
        <v>456</v>
      </c>
      <c r="G336">
        <v>21</v>
      </c>
      <c r="H336">
        <v>22</v>
      </c>
      <c r="J336" t="s">
        <v>370</v>
      </c>
      <c r="L336" t="s">
        <v>1950</v>
      </c>
      <c r="M336" t="s">
        <v>1316</v>
      </c>
      <c r="N336" t="s">
        <v>1951</v>
      </c>
      <c r="O336" t="s">
        <v>1952</v>
      </c>
    </row>
    <row r="337" spans="1:15" x14ac:dyDescent="0.25">
      <c r="A337" t="s">
        <v>40</v>
      </c>
      <c r="B337" t="s">
        <v>34</v>
      </c>
      <c r="C337" t="s">
        <v>139</v>
      </c>
      <c r="D337">
        <v>2023</v>
      </c>
      <c r="E337" t="s">
        <v>140</v>
      </c>
      <c r="F337" t="s">
        <v>141</v>
      </c>
      <c r="J337" t="s">
        <v>442</v>
      </c>
      <c r="L337" t="s">
        <v>143</v>
      </c>
      <c r="M337" t="s">
        <v>142</v>
      </c>
      <c r="N337" t="s">
        <v>1953</v>
      </c>
      <c r="O337" t="s">
        <v>1954</v>
      </c>
    </row>
    <row r="338" spans="1:15" x14ac:dyDescent="0.25">
      <c r="A338" t="s">
        <v>40</v>
      </c>
      <c r="B338" t="s">
        <v>14</v>
      </c>
      <c r="C338" t="s">
        <v>1955</v>
      </c>
      <c r="D338">
        <v>2023</v>
      </c>
      <c r="E338" t="s">
        <v>1956</v>
      </c>
      <c r="F338" t="s">
        <v>1957</v>
      </c>
      <c r="G338">
        <v>17</v>
      </c>
      <c r="H338">
        <v>2</v>
      </c>
      <c r="I338" t="s">
        <v>1958</v>
      </c>
      <c r="J338" t="s">
        <v>1959</v>
      </c>
      <c r="L338" t="s">
        <v>1960</v>
      </c>
      <c r="M338" t="s">
        <v>1961</v>
      </c>
      <c r="N338" t="s">
        <v>1962</v>
      </c>
      <c r="O338" t="s">
        <v>1963</v>
      </c>
    </row>
    <row r="339" spans="1:15" x14ac:dyDescent="0.25">
      <c r="A339" t="s">
        <v>40</v>
      </c>
      <c r="B339" t="s">
        <v>34</v>
      </c>
      <c r="C339" t="s">
        <v>1328</v>
      </c>
      <c r="D339">
        <v>2023</v>
      </c>
      <c r="E339" t="s">
        <v>1964</v>
      </c>
      <c r="F339" t="s">
        <v>231</v>
      </c>
      <c r="G339">
        <v>14393</v>
      </c>
      <c r="I339" t="s">
        <v>1331</v>
      </c>
      <c r="J339" t="s">
        <v>448</v>
      </c>
      <c r="L339" t="s">
        <v>1965</v>
      </c>
      <c r="M339" t="s">
        <v>1332</v>
      </c>
      <c r="N339" t="s">
        <v>1966</v>
      </c>
      <c r="O339" t="s">
        <v>1967</v>
      </c>
    </row>
    <row r="340" spans="1:15" x14ac:dyDescent="0.25">
      <c r="A340" t="s">
        <v>40</v>
      </c>
      <c r="B340" t="s">
        <v>14</v>
      </c>
      <c r="C340" t="s">
        <v>1968</v>
      </c>
      <c r="D340">
        <v>2023</v>
      </c>
      <c r="E340" t="s">
        <v>1017</v>
      </c>
      <c r="F340" t="s">
        <v>372</v>
      </c>
      <c r="G340">
        <v>240</v>
      </c>
      <c r="J340" t="s">
        <v>453</v>
      </c>
      <c r="L340" t="s">
        <v>1969</v>
      </c>
      <c r="M340" t="s">
        <v>1335</v>
      </c>
      <c r="N340" t="s">
        <v>1970</v>
      </c>
      <c r="O340" t="s">
        <v>1971</v>
      </c>
    </row>
    <row r="341" spans="1:15" x14ac:dyDescent="0.25">
      <c r="A341" t="s">
        <v>40</v>
      </c>
      <c r="B341" t="s">
        <v>34</v>
      </c>
      <c r="C341" t="s">
        <v>625</v>
      </c>
      <c r="D341">
        <v>2022</v>
      </c>
      <c r="E341" t="s">
        <v>629</v>
      </c>
      <c r="F341" t="s">
        <v>1972</v>
      </c>
      <c r="J341" t="s">
        <v>442</v>
      </c>
      <c r="L341" t="s">
        <v>1973</v>
      </c>
      <c r="M341" t="s">
        <v>628</v>
      </c>
      <c r="N341" t="s">
        <v>1974</v>
      </c>
      <c r="O341" t="s">
        <v>1975</v>
      </c>
    </row>
    <row r="342" spans="1:15" x14ac:dyDescent="0.25">
      <c r="A342" t="s">
        <v>40</v>
      </c>
      <c r="B342" t="s">
        <v>34</v>
      </c>
      <c r="C342" t="s">
        <v>631</v>
      </c>
      <c r="D342">
        <v>2022</v>
      </c>
      <c r="E342" t="s">
        <v>636</v>
      </c>
      <c r="F342" t="s">
        <v>1976</v>
      </c>
      <c r="G342" t="s">
        <v>1977</v>
      </c>
      <c r="I342" t="s">
        <v>633</v>
      </c>
      <c r="J342" t="s">
        <v>442</v>
      </c>
      <c r="L342" t="s">
        <v>1978</v>
      </c>
      <c r="M342" t="s">
        <v>635</v>
      </c>
      <c r="N342" t="s">
        <v>1979</v>
      </c>
      <c r="O342" t="s">
        <v>1980</v>
      </c>
    </row>
    <row r="343" spans="1:15" x14ac:dyDescent="0.25">
      <c r="A343" t="s">
        <v>40</v>
      </c>
      <c r="B343" t="s">
        <v>34</v>
      </c>
      <c r="C343" t="s">
        <v>1981</v>
      </c>
      <c r="D343">
        <v>2022</v>
      </c>
      <c r="E343" t="s">
        <v>1982</v>
      </c>
      <c r="F343" t="s">
        <v>488</v>
      </c>
      <c r="J343" t="s">
        <v>445</v>
      </c>
      <c r="L343" t="s">
        <v>1983</v>
      </c>
      <c r="M343" t="s">
        <v>1984</v>
      </c>
      <c r="N343" t="s">
        <v>1985</v>
      </c>
      <c r="O343" t="s">
        <v>1986</v>
      </c>
    </row>
    <row r="344" spans="1:15" x14ac:dyDescent="0.25">
      <c r="A344" t="s">
        <v>40</v>
      </c>
      <c r="B344" t="s">
        <v>34</v>
      </c>
      <c r="C344" t="s">
        <v>1342</v>
      </c>
      <c r="D344">
        <v>2022</v>
      </c>
      <c r="E344" t="s">
        <v>1343</v>
      </c>
      <c r="F344" t="s">
        <v>231</v>
      </c>
      <c r="G344" t="s">
        <v>1987</v>
      </c>
      <c r="I344" t="s">
        <v>1345</v>
      </c>
      <c r="J344" t="s">
        <v>448</v>
      </c>
      <c r="L344" t="s">
        <v>1988</v>
      </c>
      <c r="M344" t="s">
        <v>1346</v>
      </c>
      <c r="N344" t="s">
        <v>1989</v>
      </c>
      <c r="O344" t="s">
        <v>1990</v>
      </c>
    </row>
    <row r="345" spans="1:15" x14ac:dyDescent="0.25">
      <c r="A345" t="s">
        <v>40</v>
      </c>
      <c r="B345" t="s">
        <v>34</v>
      </c>
      <c r="C345" t="s">
        <v>1991</v>
      </c>
      <c r="D345">
        <v>2021</v>
      </c>
      <c r="E345" t="s">
        <v>1992</v>
      </c>
      <c r="F345" t="s">
        <v>488</v>
      </c>
      <c r="I345" t="s">
        <v>1993</v>
      </c>
      <c r="J345" t="s">
        <v>445</v>
      </c>
      <c r="L345" t="s">
        <v>1994</v>
      </c>
      <c r="M345" t="s">
        <v>1995</v>
      </c>
      <c r="N345" t="s">
        <v>1996</v>
      </c>
      <c r="O345" t="s">
        <v>1997</v>
      </c>
    </row>
    <row r="346" spans="1:15" x14ac:dyDescent="0.25">
      <c r="A346" t="s">
        <v>40</v>
      </c>
      <c r="B346" t="s">
        <v>34</v>
      </c>
      <c r="C346" t="s">
        <v>638</v>
      </c>
      <c r="D346">
        <v>2022</v>
      </c>
      <c r="E346" t="s">
        <v>643</v>
      </c>
      <c r="F346" t="s">
        <v>1998</v>
      </c>
      <c r="I346" t="s">
        <v>640</v>
      </c>
      <c r="J346" t="s">
        <v>442</v>
      </c>
      <c r="L346" t="s">
        <v>1999</v>
      </c>
      <c r="M346" t="s">
        <v>642</v>
      </c>
      <c r="N346" t="s">
        <v>2000</v>
      </c>
      <c r="O346" t="s">
        <v>2001</v>
      </c>
    </row>
    <row r="347" spans="1:15" x14ac:dyDescent="0.25">
      <c r="A347" t="s">
        <v>40</v>
      </c>
      <c r="B347" t="s">
        <v>34</v>
      </c>
      <c r="C347" t="s">
        <v>651</v>
      </c>
      <c r="D347">
        <v>2023</v>
      </c>
      <c r="E347" t="s">
        <v>655</v>
      </c>
      <c r="F347" t="s">
        <v>2002</v>
      </c>
      <c r="J347" t="s">
        <v>442</v>
      </c>
      <c r="L347" t="s">
        <v>2003</v>
      </c>
      <c r="M347" t="s">
        <v>654</v>
      </c>
      <c r="N347" t="s">
        <v>2004</v>
      </c>
      <c r="O347" t="s">
        <v>2005</v>
      </c>
    </row>
    <row r="348" spans="1:15" x14ac:dyDescent="0.25">
      <c r="A348" t="s">
        <v>40</v>
      </c>
      <c r="B348" t="s">
        <v>14</v>
      </c>
      <c r="C348" t="s">
        <v>156</v>
      </c>
      <c r="D348">
        <v>2022</v>
      </c>
      <c r="E348" t="s">
        <v>157</v>
      </c>
      <c r="F348" t="s">
        <v>158</v>
      </c>
      <c r="G348">
        <v>39</v>
      </c>
      <c r="H348">
        <v>7</v>
      </c>
      <c r="J348" t="s">
        <v>469</v>
      </c>
      <c r="L348" t="s">
        <v>160</v>
      </c>
      <c r="M348" t="s">
        <v>159</v>
      </c>
      <c r="N348" t="s">
        <v>2006</v>
      </c>
      <c r="O348" t="s">
        <v>2007</v>
      </c>
    </row>
    <row r="349" spans="1:15" x14ac:dyDescent="0.25">
      <c r="A349" t="s">
        <v>40</v>
      </c>
      <c r="B349" t="s">
        <v>34</v>
      </c>
      <c r="C349" t="s">
        <v>162</v>
      </c>
      <c r="D349">
        <v>2021</v>
      </c>
      <c r="E349" t="s">
        <v>163</v>
      </c>
      <c r="F349" t="s">
        <v>164</v>
      </c>
      <c r="I349" t="s">
        <v>2008</v>
      </c>
      <c r="J349" t="s">
        <v>442</v>
      </c>
      <c r="L349" t="s">
        <v>166</v>
      </c>
      <c r="M349" t="s">
        <v>165</v>
      </c>
      <c r="N349" t="s">
        <v>2009</v>
      </c>
      <c r="O349" t="s">
        <v>2010</v>
      </c>
    </row>
    <row r="350" spans="1:15" x14ac:dyDescent="0.25">
      <c r="A350" t="s">
        <v>40</v>
      </c>
      <c r="B350" t="s">
        <v>34</v>
      </c>
      <c r="C350" t="s">
        <v>661</v>
      </c>
      <c r="D350">
        <v>2022</v>
      </c>
      <c r="E350" t="s">
        <v>665</v>
      </c>
      <c r="F350" t="s">
        <v>2011</v>
      </c>
      <c r="J350" t="s">
        <v>442</v>
      </c>
      <c r="L350" t="s">
        <v>2012</v>
      </c>
      <c r="M350" t="s">
        <v>664</v>
      </c>
      <c r="N350" t="s">
        <v>2013</v>
      </c>
      <c r="O350" t="s">
        <v>2014</v>
      </c>
    </row>
    <row r="351" spans="1:15" x14ac:dyDescent="0.25">
      <c r="A351" t="s">
        <v>40</v>
      </c>
      <c r="B351" t="s">
        <v>14</v>
      </c>
      <c r="C351" t="s">
        <v>1029</v>
      </c>
      <c r="D351">
        <v>2021</v>
      </c>
      <c r="E351" t="s">
        <v>1030</v>
      </c>
      <c r="F351" t="s">
        <v>511</v>
      </c>
      <c r="G351">
        <v>152</v>
      </c>
      <c r="I351" t="s">
        <v>1031</v>
      </c>
      <c r="J351" t="s">
        <v>452</v>
      </c>
      <c r="L351" t="s">
        <v>2015</v>
      </c>
      <c r="M351" t="s">
        <v>1367</v>
      </c>
      <c r="N351" t="s">
        <v>2016</v>
      </c>
      <c r="O351" t="s">
        <v>2017</v>
      </c>
    </row>
    <row r="352" spans="1:15" x14ac:dyDescent="0.25">
      <c r="A352" t="s">
        <v>40</v>
      </c>
      <c r="B352" t="s">
        <v>130</v>
      </c>
      <c r="C352" t="s">
        <v>1036</v>
      </c>
      <c r="D352">
        <v>2022</v>
      </c>
      <c r="E352" t="s">
        <v>2018</v>
      </c>
      <c r="F352" t="s">
        <v>1038</v>
      </c>
      <c r="I352" t="s">
        <v>1039</v>
      </c>
      <c r="J352" t="s">
        <v>377</v>
      </c>
      <c r="L352" t="s">
        <v>2019</v>
      </c>
      <c r="M352" t="s">
        <v>2020</v>
      </c>
      <c r="N352" t="s">
        <v>2021</v>
      </c>
      <c r="O352" t="s">
        <v>2022</v>
      </c>
    </row>
    <row r="353" spans="1:15" x14ac:dyDescent="0.25">
      <c r="A353" t="s">
        <v>40</v>
      </c>
      <c r="B353" t="s">
        <v>34</v>
      </c>
      <c r="C353" t="s">
        <v>667</v>
      </c>
      <c r="D353">
        <v>2021</v>
      </c>
      <c r="E353" t="s">
        <v>672</v>
      </c>
      <c r="F353" t="s">
        <v>2023</v>
      </c>
      <c r="I353" t="s">
        <v>669</v>
      </c>
      <c r="J353" t="s">
        <v>442</v>
      </c>
      <c r="L353" t="s">
        <v>2024</v>
      </c>
      <c r="M353" t="s">
        <v>671</v>
      </c>
      <c r="N353" t="s">
        <v>2025</v>
      </c>
      <c r="O353" t="s">
        <v>2026</v>
      </c>
    </row>
    <row r="354" spans="1:15" x14ac:dyDescent="0.25">
      <c r="A354" t="s">
        <v>40</v>
      </c>
      <c r="B354" t="s">
        <v>34</v>
      </c>
      <c r="C354" t="s">
        <v>2027</v>
      </c>
      <c r="D354">
        <v>2023</v>
      </c>
      <c r="E354" t="s">
        <v>2028</v>
      </c>
      <c r="F354" t="s">
        <v>184</v>
      </c>
      <c r="G354">
        <v>12724</v>
      </c>
      <c r="J354" t="s">
        <v>502</v>
      </c>
      <c r="L354" t="s">
        <v>2029</v>
      </c>
      <c r="M354" t="s">
        <v>2030</v>
      </c>
      <c r="N354" t="s">
        <v>2031</v>
      </c>
      <c r="O354" t="s">
        <v>2032</v>
      </c>
    </row>
    <row r="355" spans="1:15" x14ac:dyDescent="0.25">
      <c r="A355" t="s">
        <v>40</v>
      </c>
      <c r="B355" t="s">
        <v>34</v>
      </c>
      <c r="C355" t="s">
        <v>674</v>
      </c>
      <c r="D355">
        <v>2023</v>
      </c>
      <c r="E355" t="s">
        <v>679</v>
      </c>
      <c r="F355" t="s">
        <v>2033</v>
      </c>
      <c r="G355" t="s">
        <v>467</v>
      </c>
      <c r="I355" t="s">
        <v>676</v>
      </c>
      <c r="J355" t="s">
        <v>472</v>
      </c>
      <c r="L355" t="s">
        <v>2034</v>
      </c>
      <c r="M355" t="s">
        <v>678</v>
      </c>
      <c r="N355" t="s">
        <v>2035</v>
      </c>
      <c r="O355" t="s">
        <v>2036</v>
      </c>
    </row>
    <row r="356" spans="1:15" x14ac:dyDescent="0.25">
      <c r="A356" t="s">
        <v>40</v>
      </c>
      <c r="B356" t="s">
        <v>34</v>
      </c>
      <c r="C356" t="s">
        <v>681</v>
      </c>
      <c r="D356">
        <v>2023</v>
      </c>
      <c r="E356" t="s">
        <v>684</v>
      </c>
      <c r="F356" t="s">
        <v>493</v>
      </c>
      <c r="J356" t="s">
        <v>442</v>
      </c>
      <c r="L356" t="s">
        <v>2037</v>
      </c>
      <c r="M356" t="s">
        <v>683</v>
      </c>
      <c r="N356" t="s">
        <v>2038</v>
      </c>
      <c r="O356" t="s">
        <v>2039</v>
      </c>
    </row>
    <row r="357" spans="1:15" x14ac:dyDescent="0.25">
      <c r="A357" t="s">
        <v>40</v>
      </c>
      <c r="B357" t="s">
        <v>14</v>
      </c>
      <c r="C357" t="s">
        <v>1057</v>
      </c>
      <c r="D357">
        <v>2022</v>
      </c>
      <c r="E357" t="s">
        <v>1058</v>
      </c>
      <c r="F357" t="s">
        <v>372</v>
      </c>
      <c r="G357">
        <v>226</v>
      </c>
      <c r="J357" t="s">
        <v>453</v>
      </c>
      <c r="L357" t="s">
        <v>2040</v>
      </c>
      <c r="M357" t="s">
        <v>1388</v>
      </c>
      <c r="N357" t="s">
        <v>2041</v>
      </c>
      <c r="O357" t="s">
        <v>2042</v>
      </c>
    </row>
    <row r="358" spans="1:15" x14ac:dyDescent="0.25">
      <c r="A358" t="s">
        <v>40</v>
      </c>
      <c r="B358" t="s">
        <v>34</v>
      </c>
      <c r="C358" t="s">
        <v>2043</v>
      </c>
      <c r="D358">
        <v>2021</v>
      </c>
      <c r="E358" t="s">
        <v>2044</v>
      </c>
      <c r="F358" t="s">
        <v>231</v>
      </c>
      <c r="G358" t="s">
        <v>2045</v>
      </c>
      <c r="I358" t="s">
        <v>2046</v>
      </c>
      <c r="J358" t="s">
        <v>448</v>
      </c>
      <c r="L358" t="s">
        <v>2047</v>
      </c>
      <c r="M358" t="s">
        <v>2048</v>
      </c>
      <c r="N358" t="s">
        <v>2049</v>
      </c>
      <c r="O358" t="s">
        <v>2050</v>
      </c>
    </row>
    <row r="359" spans="1:15" x14ac:dyDescent="0.25">
      <c r="A359" t="s">
        <v>40</v>
      </c>
      <c r="B359" t="s">
        <v>34</v>
      </c>
      <c r="C359" t="s">
        <v>1395</v>
      </c>
      <c r="D359">
        <v>2022</v>
      </c>
      <c r="E359" t="s">
        <v>690</v>
      </c>
      <c r="F359" t="s">
        <v>2051</v>
      </c>
      <c r="J359" t="s">
        <v>442</v>
      </c>
      <c r="L359" t="s">
        <v>2052</v>
      </c>
      <c r="M359" t="s">
        <v>689</v>
      </c>
      <c r="N359" t="s">
        <v>2053</v>
      </c>
      <c r="O359" t="s">
        <v>2054</v>
      </c>
    </row>
    <row r="360" spans="1:15" x14ac:dyDescent="0.25">
      <c r="A360" t="s">
        <v>40</v>
      </c>
      <c r="B360" t="s">
        <v>14</v>
      </c>
      <c r="C360" t="s">
        <v>692</v>
      </c>
      <c r="D360">
        <v>2022</v>
      </c>
      <c r="E360" t="s">
        <v>696</v>
      </c>
      <c r="F360" t="s">
        <v>403</v>
      </c>
      <c r="G360">
        <v>41</v>
      </c>
      <c r="H360">
        <v>9</v>
      </c>
      <c r="I360" t="s">
        <v>693</v>
      </c>
      <c r="J360" t="s">
        <v>442</v>
      </c>
      <c r="L360" t="s">
        <v>2055</v>
      </c>
      <c r="M360" t="s">
        <v>695</v>
      </c>
      <c r="N360" t="s">
        <v>2056</v>
      </c>
      <c r="O360" t="s">
        <v>2057</v>
      </c>
    </row>
    <row r="361" spans="1:15" x14ac:dyDescent="0.25">
      <c r="A361" t="s">
        <v>40</v>
      </c>
      <c r="B361" t="s">
        <v>34</v>
      </c>
      <c r="C361" t="s">
        <v>698</v>
      </c>
      <c r="D361">
        <v>2023</v>
      </c>
      <c r="E361" t="s">
        <v>703</v>
      </c>
      <c r="F361" t="s">
        <v>2058</v>
      </c>
      <c r="I361" t="s">
        <v>2059</v>
      </c>
      <c r="J361" t="s">
        <v>442</v>
      </c>
      <c r="L361" t="s">
        <v>2060</v>
      </c>
      <c r="M361" t="s">
        <v>702</v>
      </c>
      <c r="N361" t="s">
        <v>2061</v>
      </c>
      <c r="O361" t="s">
        <v>2062</v>
      </c>
    </row>
    <row r="362" spans="1:15" x14ac:dyDescent="0.25">
      <c r="A362" t="s">
        <v>40</v>
      </c>
      <c r="B362" t="s">
        <v>34</v>
      </c>
      <c r="C362" t="s">
        <v>705</v>
      </c>
      <c r="D362">
        <v>2023</v>
      </c>
      <c r="E362" t="s">
        <v>710</v>
      </c>
      <c r="F362" t="s">
        <v>2063</v>
      </c>
      <c r="I362" t="s">
        <v>707</v>
      </c>
      <c r="J362" t="s">
        <v>442</v>
      </c>
      <c r="L362" t="s">
        <v>2064</v>
      </c>
      <c r="M362" t="s">
        <v>709</v>
      </c>
      <c r="N362" t="s">
        <v>2065</v>
      </c>
      <c r="O362" t="s">
        <v>2066</v>
      </c>
    </row>
    <row r="363" spans="1:15" x14ac:dyDescent="0.25">
      <c r="A363" t="s">
        <v>40</v>
      </c>
      <c r="B363" t="s">
        <v>34</v>
      </c>
      <c r="C363" t="s">
        <v>174</v>
      </c>
      <c r="D363">
        <v>2022</v>
      </c>
      <c r="E363" t="s">
        <v>175</v>
      </c>
      <c r="F363" t="s">
        <v>492</v>
      </c>
      <c r="G363" t="s">
        <v>523</v>
      </c>
      <c r="I363" t="s">
        <v>712</v>
      </c>
      <c r="J363" t="s">
        <v>442</v>
      </c>
      <c r="L363" t="s">
        <v>2067</v>
      </c>
      <c r="M363" t="s">
        <v>178</v>
      </c>
      <c r="N363" t="s">
        <v>2068</v>
      </c>
      <c r="O363" t="s">
        <v>2069</v>
      </c>
    </row>
    <row r="364" spans="1:15" x14ac:dyDescent="0.25">
      <c r="A364" t="s">
        <v>40</v>
      </c>
      <c r="B364" t="s">
        <v>34</v>
      </c>
      <c r="C364" t="s">
        <v>182</v>
      </c>
      <c r="D364">
        <v>2022</v>
      </c>
      <c r="E364" t="s">
        <v>183</v>
      </c>
      <c r="F364" t="s">
        <v>184</v>
      </c>
      <c r="G364">
        <v>12286</v>
      </c>
      <c r="J364" t="s">
        <v>502</v>
      </c>
      <c r="L364" t="s">
        <v>186</v>
      </c>
      <c r="M364" t="s">
        <v>185</v>
      </c>
      <c r="N364" t="s">
        <v>2070</v>
      </c>
      <c r="O364" t="s">
        <v>2071</v>
      </c>
    </row>
    <row r="365" spans="1:15" x14ac:dyDescent="0.25">
      <c r="A365" t="s">
        <v>40</v>
      </c>
      <c r="B365" t="s">
        <v>14</v>
      </c>
      <c r="C365" t="s">
        <v>1412</v>
      </c>
      <c r="D365">
        <v>2022</v>
      </c>
      <c r="E365" t="s">
        <v>1413</v>
      </c>
      <c r="F365" t="s">
        <v>456</v>
      </c>
      <c r="G365">
        <v>22</v>
      </c>
      <c r="H365">
        <v>23</v>
      </c>
      <c r="J365" t="s">
        <v>370</v>
      </c>
      <c r="L365" t="s">
        <v>2072</v>
      </c>
      <c r="M365" t="s">
        <v>1414</v>
      </c>
      <c r="N365" t="s">
        <v>2073</v>
      </c>
      <c r="O365" t="s">
        <v>2074</v>
      </c>
    </row>
    <row r="366" spans="1:15" x14ac:dyDescent="0.25">
      <c r="A366" t="s">
        <v>40</v>
      </c>
      <c r="B366" t="s">
        <v>34</v>
      </c>
      <c r="C366" t="s">
        <v>2075</v>
      </c>
      <c r="D366">
        <v>2023</v>
      </c>
      <c r="E366" t="s">
        <v>2076</v>
      </c>
      <c r="F366" t="s">
        <v>1773</v>
      </c>
      <c r="G366" t="s">
        <v>1813</v>
      </c>
      <c r="I366" t="s">
        <v>2077</v>
      </c>
      <c r="J366" t="s">
        <v>448</v>
      </c>
      <c r="L366" t="s">
        <v>2078</v>
      </c>
      <c r="M366" t="s">
        <v>2079</v>
      </c>
      <c r="N366" t="s">
        <v>2080</v>
      </c>
      <c r="O366" t="s">
        <v>2081</v>
      </c>
    </row>
    <row r="367" spans="1:15" x14ac:dyDescent="0.25">
      <c r="A367" t="s">
        <v>40</v>
      </c>
      <c r="B367" t="s">
        <v>34</v>
      </c>
      <c r="C367" t="s">
        <v>722</v>
      </c>
      <c r="D367">
        <v>2021</v>
      </c>
      <c r="E367" t="s">
        <v>2082</v>
      </c>
      <c r="F367" t="s">
        <v>2083</v>
      </c>
      <c r="I367" t="s">
        <v>724</v>
      </c>
      <c r="J367" t="s">
        <v>442</v>
      </c>
      <c r="L367" t="s">
        <v>2084</v>
      </c>
      <c r="M367" t="s">
        <v>726</v>
      </c>
      <c r="N367" t="s">
        <v>2085</v>
      </c>
      <c r="O367" t="s">
        <v>2086</v>
      </c>
    </row>
    <row r="368" spans="1:15" x14ac:dyDescent="0.25">
      <c r="A368" t="s">
        <v>40</v>
      </c>
      <c r="B368" t="s">
        <v>34</v>
      </c>
      <c r="C368" t="s">
        <v>187</v>
      </c>
      <c r="D368">
        <v>2023</v>
      </c>
      <c r="E368" t="s">
        <v>188</v>
      </c>
      <c r="F368" t="s">
        <v>189</v>
      </c>
      <c r="J368" t="s">
        <v>442</v>
      </c>
      <c r="L368" t="s">
        <v>191</v>
      </c>
      <c r="M368" t="s">
        <v>190</v>
      </c>
      <c r="N368" t="s">
        <v>2087</v>
      </c>
      <c r="O368" t="s">
        <v>2088</v>
      </c>
    </row>
    <row r="369" spans="1:15" x14ac:dyDescent="0.25">
      <c r="A369" t="s">
        <v>40</v>
      </c>
      <c r="B369" t="s">
        <v>14</v>
      </c>
      <c r="C369" t="s">
        <v>1071</v>
      </c>
      <c r="D369">
        <v>2023</v>
      </c>
      <c r="E369" t="s">
        <v>1072</v>
      </c>
      <c r="F369" t="s">
        <v>1073</v>
      </c>
      <c r="G369">
        <v>8</v>
      </c>
      <c r="J369" t="s">
        <v>452</v>
      </c>
      <c r="L369" t="s">
        <v>2089</v>
      </c>
      <c r="M369" t="s">
        <v>2090</v>
      </c>
      <c r="N369" t="s">
        <v>2091</v>
      </c>
      <c r="O369" t="s">
        <v>2092</v>
      </c>
    </row>
    <row r="370" spans="1:15" x14ac:dyDescent="0.25">
      <c r="A370" t="s">
        <v>40</v>
      </c>
      <c r="B370" t="s">
        <v>34</v>
      </c>
      <c r="C370" t="s">
        <v>731</v>
      </c>
      <c r="D370">
        <v>2022</v>
      </c>
      <c r="E370" t="s">
        <v>734</v>
      </c>
      <c r="F370" t="s">
        <v>465</v>
      </c>
      <c r="J370" t="s">
        <v>442</v>
      </c>
      <c r="L370" t="s">
        <v>2093</v>
      </c>
      <c r="M370" t="s">
        <v>733</v>
      </c>
      <c r="N370" t="s">
        <v>2094</v>
      </c>
      <c r="O370" t="s">
        <v>2095</v>
      </c>
    </row>
    <row r="371" spans="1:15" x14ac:dyDescent="0.25">
      <c r="A371" t="s">
        <v>40</v>
      </c>
      <c r="B371" t="s">
        <v>14</v>
      </c>
      <c r="C371" t="s">
        <v>2096</v>
      </c>
      <c r="D371">
        <v>2023</v>
      </c>
      <c r="E371" t="s">
        <v>1446</v>
      </c>
      <c r="F371" t="s">
        <v>456</v>
      </c>
      <c r="G371">
        <v>23</v>
      </c>
      <c r="H371">
        <v>16</v>
      </c>
      <c r="J371" t="s">
        <v>471</v>
      </c>
      <c r="L371" t="s">
        <v>2097</v>
      </c>
      <c r="M371" t="s">
        <v>1447</v>
      </c>
      <c r="N371" t="s">
        <v>2098</v>
      </c>
      <c r="O371" t="s">
        <v>2099</v>
      </c>
    </row>
    <row r="372" spans="1:15" x14ac:dyDescent="0.25">
      <c r="A372" t="s">
        <v>40</v>
      </c>
      <c r="B372" t="s">
        <v>34</v>
      </c>
      <c r="C372" t="s">
        <v>192</v>
      </c>
      <c r="D372">
        <v>2022</v>
      </c>
      <c r="E372" t="s">
        <v>193</v>
      </c>
      <c r="F372" t="s">
        <v>2100</v>
      </c>
      <c r="I372" t="s">
        <v>748</v>
      </c>
      <c r="J372" t="s">
        <v>442</v>
      </c>
      <c r="L372" t="s">
        <v>2101</v>
      </c>
      <c r="M372" t="s">
        <v>196</v>
      </c>
      <c r="N372" t="s">
        <v>2102</v>
      </c>
      <c r="O372" t="s">
        <v>2103</v>
      </c>
    </row>
    <row r="373" spans="1:15" x14ac:dyDescent="0.25">
      <c r="A373" t="s">
        <v>40</v>
      </c>
      <c r="B373" t="s">
        <v>14</v>
      </c>
      <c r="C373" t="s">
        <v>1078</v>
      </c>
      <c r="D373">
        <v>2023</v>
      </c>
      <c r="E373" t="s">
        <v>1079</v>
      </c>
      <c r="F373" t="s">
        <v>1080</v>
      </c>
      <c r="G373">
        <v>18</v>
      </c>
      <c r="J373" t="s">
        <v>452</v>
      </c>
      <c r="L373" t="s">
        <v>2104</v>
      </c>
      <c r="M373" t="s">
        <v>2105</v>
      </c>
      <c r="N373" t="s">
        <v>2106</v>
      </c>
      <c r="O373" t="s">
        <v>2107</v>
      </c>
    </row>
    <row r="374" spans="1:15" x14ac:dyDescent="0.25">
      <c r="A374" t="s">
        <v>40</v>
      </c>
      <c r="B374" t="s">
        <v>34</v>
      </c>
      <c r="C374" t="s">
        <v>751</v>
      </c>
      <c r="D374">
        <v>2022</v>
      </c>
      <c r="E374" t="s">
        <v>756</v>
      </c>
      <c r="F374" t="s">
        <v>2108</v>
      </c>
      <c r="I374" t="s">
        <v>753</v>
      </c>
      <c r="J374" t="s">
        <v>442</v>
      </c>
      <c r="L374" t="s">
        <v>2109</v>
      </c>
      <c r="M374" t="s">
        <v>755</v>
      </c>
      <c r="N374" t="s">
        <v>2110</v>
      </c>
      <c r="O374" t="s">
        <v>2111</v>
      </c>
    </row>
    <row r="375" spans="1:15" x14ac:dyDescent="0.25">
      <c r="A375" t="s">
        <v>40</v>
      </c>
      <c r="B375" t="s">
        <v>14</v>
      </c>
      <c r="C375" t="s">
        <v>200</v>
      </c>
      <c r="D375">
        <v>2022</v>
      </c>
      <c r="E375" t="s">
        <v>201</v>
      </c>
      <c r="F375" t="s">
        <v>2112</v>
      </c>
      <c r="G375" t="s">
        <v>1466</v>
      </c>
      <c r="H375">
        <v>8</v>
      </c>
      <c r="I375" t="s">
        <v>1467</v>
      </c>
      <c r="J375" t="s">
        <v>2113</v>
      </c>
      <c r="L375" t="s">
        <v>2114</v>
      </c>
      <c r="M375" t="s">
        <v>204</v>
      </c>
      <c r="N375" t="s">
        <v>2115</v>
      </c>
      <c r="O375" t="s">
        <v>2116</v>
      </c>
    </row>
    <row r="376" spans="1:15" x14ac:dyDescent="0.25">
      <c r="A376" t="s">
        <v>40</v>
      </c>
      <c r="B376" t="s">
        <v>34</v>
      </c>
      <c r="C376" t="s">
        <v>2117</v>
      </c>
      <c r="D376">
        <v>2022</v>
      </c>
      <c r="E376" t="s">
        <v>208</v>
      </c>
      <c r="F376" t="s">
        <v>209</v>
      </c>
      <c r="G376">
        <v>218</v>
      </c>
      <c r="I376" t="s">
        <v>1085</v>
      </c>
      <c r="J376" t="s">
        <v>452</v>
      </c>
      <c r="L376" t="s">
        <v>2118</v>
      </c>
      <c r="M376" t="s">
        <v>2119</v>
      </c>
      <c r="N376" t="s">
        <v>2120</v>
      </c>
      <c r="O376" t="s">
        <v>2121</v>
      </c>
    </row>
    <row r="377" spans="1:15" x14ac:dyDescent="0.25">
      <c r="A377" t="s">
        <v>40</v>
      </c>
      <c r="B377" t="s">
        <v>34</v>
      </c>
      <c r="C377" t="s">
        <v>2122</v>
      </c>
      <c r="D377">
        <v>2023</v>
      </c>
      <c r="E377" t="s">
        <v>1470</v>
      </c>
      <c r="F377" t="s">
        <v>2123</v>
      </c>
      <c r="I377" t="s">
        <v>1472</v>
      </c>
      <c r="J377" t="s">
        <v>512</v>
      </c>
      <c r="L377" t="s">
        <v>2124</v>
      </c>
      <c r="M377" t="s">
        <v>1473</v>
      </c>
      <c r="N377" t="s">
        <v>2125</v>
      </c>
      <c r="O377" t="s">
        <v>2126</v>
      </c>
    </row>
    <row r="378" spans="1:15" x14ac:dyDescent="0.25">
      <c r="A378" t="s">
        <v>40</v>
      </c>
      <c r="B378" t="s">
        <v>14</v>
      </c>
      <c r="C378" t="s">
        <v>1475</v>
      </c>
      <c r="D378">
        <v>2023</v>
      </c>
      <c r="E378" t="s">
        <v>1476</v>
      </c>
      <c r="F378" t="s">
        <v>456</v>
      </c>
      <c r="G378">
        <v>23</v>
      </c>
      <c r="H378">
        <v>8</v>
      </c>
      <c r="J378" t="s">
        <v>370</v>
      </c>
      <c r="L378" t="s">
        <v>2127</v>
      </c>
      <c r="M378" t="s">
        <v>1477</v>
      </c>
      <c r="N378" t="s">
        <v>2128</v>
      </c>
      <c r="O378" t="s">
        <v>2129</v>
      </c>
    </row>
    <row r="379" spans="1:15" x14ac:dyDescent="0.25">
      <c r="A379" t="s">
        <v>40</v>
      </c>
      <c r="B379" t="s">
        <v>14</v>
      </c>
      <c r="C379" t="s">
        <v>2130</v>
      </c>
      <c r="D379">
        <v>2023</v>
      </c>
      <c r="E379" t="s">
        <v>1362</v>
      </c>
      <c r="F379" t="s">
        <v>1944</v>
      </c>
      <c r="J379" t="s">
        <v>503</v>
      </c>
      <c r="L379" t="s">
        <v>2131</v>
      </c>
      <c r="M379" t="s">
        <v>1363</v>
      </c>
      <c r="N379" t="s">
        <v>2132</v>
      </c>
      <c r="O379" t="s">
        <v>2133</v>
      </c>
    </row>
    <row r="380" spans="1:15" x14ac:dyDescent="0.25">
      <c r="A380" t="s">
        <v>40</v>
      </c>
      <c r="B380" t="s">
        <v>14</v>
      </c>
      <c r="C380" t="s">
        <v>1496</v>
      </c>
      <c r="D380">
        <v>2023</v>
      </c>
      <c r="E380" t="s">
        <v>1497</v>
      </c>
      <c r="F380" t="s">
        <v>2134</v>
      </c>
      <c r="G380">
        <v>7</v>
      </c>
      <c r="H380">
        <v>2</v>
      </c>
      <c r="J380" t="s">
        <v>370</v>
      </c>
      <c r="L380" t="s">
        <v>2135</v>
      </c>
      <c r="M380" t="s">
        <v>1499</v>
      </c>
      <c r="N380" t="s">
        <v>2136</v>
      </c>
      <c r="O380" t="s">
        <v>2137</v>
      </c>
    </row>
    <row r="381" spans="1:15" x14ac:dyDescent="0.25">
      <c r="A381" t="s">
        <v>40</v>
      </c>
      <c r="B381" t="s">
        <v>34</v>
      </c>
      <c r="C381" t="s">
        <v>229</v>
      </c>
      <c r="D381">
        <v>2022</v>
      </c>
      <c r="E381" t="s">
        <v>230</v>
      </c>
      <c r="F381" t="s">
        <v>231</v>
      </c>
      <c r="G381" t="s">
        <v>2138</v>
      </c>
      <c r="I381" t="s">
        <v>1509</v>
      </c>
      <c r="J381" t="s">
        <v>448</v>
      </c>
      <c r="L381" t="s">
        <v>233</v>
      </c>
      <c r="M381" t="s">
        <v>232</v>
      </c>
      <c r="N381" t="s">
        <v>2139</v>
      </c>
      <c r="O381" t="s">
        <v>2140</v>
      </c>
    </row>
    <row r="382" spans="1:15" x14ac:dyDescent="0.25">
      <c r="A382" t="s">
        <v>40</v>
      </c>
      <c r="B382" t="s">
        <v>34</v>
      </c>
      <c r="C382" t="s">
        <v>236</v>
      </c>
      <c r="D382">
        <v>2021</v>
      </c>
      <c r="E382" t="s">
        <v>237</v>
      </c>
      <c r="F382" t="s">
        <v>238</v>
      </c>
      <c r="I382" s="10">
        <v>45505</v>
      </c>
      <c r="J382" t="s">
        <v>442</v>
      </c>
      <c r="L382" t="s">
        <v>240</v>
      </c>
      <c r="M382" t="s">
        <v>239</v>
      </c>
      <c r="N382" t="s">
        <v>2141</v>
      </c>
      <c r="O382" t="s">
        <v>2142</v>
      </c>
    </row>
    <row r="383" spans="1:15" x14ac:dyDescent="0.25">
      <c r="A383" t="s">
        <v>40</v>
      </c>
      <c r="B383" t="s">
        <v>34</v>
      </c>
      <c r="C383" t="s">
        <v>2143</v>
      </c>
      <c r="D383">
        <v>2021</v>
      </c>
      <c r="E383" t="s">
        <v>2144</v>
      </c>
      <c r="F383" t="s">
        <v>480</v>
      </c>
      <c r="G383">
        <v>165</v>
      </c>
      <c r="I383" t="s">
        <v>2145</v>
      </c>
      <c r="J383" t="s">
        <v>481</v>
      </c>
      <c r="L383" t="s">
        <v>2146</v>
      </c>
      <c r="N383" t="s">
        <v>2147</v>
      </c>
      <c r="O383" t="s">
        <v>2148</v>
      </c>
    </row>
    <row r="384" spans="1:15" x14ac:dyDescent="0.25">
      <c r="A384" t="s">
        <v>40</v>
      </c>
      <c r="B384" t="s">
        <v>14</v>
      </c>
      <c r="C384" t="s">
        <v>251</v>
      </c>
      <c r="D384">
        <v>2022</v>
      </c>
      <c r="E384" t="s">
        <v>252</v>
      </c>
      <c r="F384" t="s">
        <v>509</v>
      </c>
      <c r="G384">
        <v>54</v>
      </c>
      <c r="H384">
        <v>5</v>
      </c>
      <c r="I384" t="s">
        <v>1511</v>
      </c>
      <c r="J384" t="s">
        <v>503</v>
      </c>
      <c r="L384" t="s">
        <v>2149</v>
      </c>
      <c r="M384" t="s">
        <v>254</v>
      </c>
      <c r="N384" t="s">
        <v>2150</v>
      </c>
      <c r="O384" t="s">
        <v>2151</v>
      </c>
    </row>
    <row r="385" spans="1:15" x14ac:dyDescent="0.25">
      <c r="A385" t="s">
        <v>40</v>
      </c>
      <c r="B385" t="s">
        <v>34</v>
      </c>
      <c r="C385" t="s">
        <v>1513</v>
      </c>
      <c r="D385">
        <v>2023</v>
      </c>
      <c r="E385" t="s">
        <v>2152</v>
      </c>
      <c r="F385" t="s">
        <v>231</v>
      </c>
      <c r="G385" t="s">
        <v>2153</v>
      </c>
      <c r="I385" t="s">
        <v>1516</v>
      </c>
      <c r="J385" t="s">
        <v>448</v>
      </c>
      <c r="L385" t="s">
        <v>2154</v>
      </c>
      <c r="M385" t="s">
        <v>1517</v>
      </c>
      <c r="N385" t="s">
        <v>2155</v>
      </c>
      <c r="O385" t="s">
        <v>2156</v>
      </c>
    </row>
    <row r="386" spans="1:15" x14ac:dyDescent="0.25">
      <c r="A386" t="s">
        <v>40</v>
      </c>
      <c r="B386" t="s">
        <v>34</v>
      </c>
      <c r="C386" t="s">
        <v>1525</v>
      </c>
      <c r="D386">
        <v>2024</v>
      </c>
      <c r="E386" t="s">
        <v>2157</v>
      </c>
      <c r="F386" t="s">
        <v>231</v>
      </c>
      <c r="G386" t="s">
        <v>2158</v>
      </c>
      <c r="I386" t="s">
        <v>1528</v>
      </c>
      <c r="J386" t="s">
        <v>448</v>
      </c>
      <c r="L386" t="s">
        <v>2159</v>
      </c>
      <c r="M386" t="s">
        <v>1529</v>
      </c>
      <c r="N386" t="s">
        <v>2160</v>
      </c>
      <c r="O386" t="s">
        <v>2161</v>
      </c>
    </row>
    <row r="387" spans="1:15" x14ac:dyDescent="0.25">
      <c r="A387" t="s">
        <v>40</v>
      </c>
      <c r="B387" t="s">
        <v>34</v>
      </c>
      <c r="C387" t="s">
        <v>767</v>
      </c>
      <c r="D387">
        <v>2022</v>
      </c>
      <c r="E387" t="s">
        <v>771</v>
      </c>
      <c r="F387" t="s">
        <v>2162</v>
      </c>
      <c r="J387" t="s">
        <v>442</v>
      </c>
      <c r="L387" t="s">
        <v>2163</v>
      </c>
      <c r="M387" t="s">
        <v>770</v>
      </c>
      <c r="N387" t="s">
        <v>2164</v>
      </c>
      <c r="O387" t="s">
        <v>2165</v>
      </c>
    </row>
    <row r="388" spans="1:15" x14ac:dyDescent="0.25">
      <c r="A388" t="s">
        <v>40</v>
      </c>
      <c r="B388" t="s">
        <v>14</v>
      </c>
      <c r="C388" t="s">
        <v>1536</v>
      </c>
      <c r="D388">
        <v>2022</v>
      </c>
      <c r="E388" t="s">
        <v>1537</v>
      </c>
      <c r="F388" t="s">
        <v>2166</v>
      </c>
      <c r="G388">
        <v>22</v>
      </c>
      <c r="H388">
        <v>1</v>
      </c>
      <c r="J388" t="s">
        <v>445</v>
      </c>
      <c r="L388" t="s">
        <v>2167</v>
      </c>
      <c r="M388" t="s">
        <v>1539</v>
      </c>
      <c r="N388" t="s">
        <v>2168</v>
      </c>
      <c r="O388" t="s">
        <v>2169</v>
      </c>
    </row>
    <row r="389" spans="1:15" x14ac:dyDescent="0.25">
      <c r="A389" t="s">
        <v>40</v>
      </c>
      <c r="B389" t="s">
        <v>14</v>
      </c>
      <c r="C389" t="s">
        <v>2170</v>
      </c>
      <c r="D389">
        <v>2022</v>
      </c>
      <c r="E389" t="s">
        <v>2171</v>
      </c>
      <c r="F389" t="s">
        <v>2172</v>
      </c>
      <c r="G389">
        <v>27</v>
      </c>
      <c r="H389">
        <v>6</v>
      </c>
      <c r="I389" t="s">
        <v>2173</v>
      </c>
      <c r="J389" t="s">
        <v>2174</v>
      </c>
      <c r="L389" t="s">
        <v>2175</v>
      </c>
      <c r="M389" t="s">
        <v>2176</v>
      </c>
      <c r="N389" t="s">
        <v>2177</v>
      </c>
      <c r="O389" t="s">
        <v>2178</v>
      </c>
    </row>
    <row r="390" spans="1:15" x14ac:dyDescent="0.25">
      <c r="A390" t="s">
        <v>40</v>
      </c>
      <c r="B390" t="s">
        <v>14</v>
      </c>
      <c r="C390" t="s">
        <v>278</v>
      </c>
      <c r="D390">
        <v>2023</v>
      </c>
      <c r="E390" t="s">
        <v>279</v>
      </c>
      <c r="F390" t="s">
        <v>2179</v>
      </c>
      <c r="G390">
        <v>53</v>
      </c>
      <c r="H390">
        <v>19</v>
      </c>
      <c r="I390" t="s">
        <v>1547</v>
      </c>
      <c r="J390" t="s">
        <v>503</v>
      </c>
      <c r="L390" t="s">
        <v>2180</v>
      </c>
      <c r="M390" t="s">
        <v>281</v>
      </c>
      <c r="N390" t="s">
        <v>2181</v>
      </c>
      <c r="O390" t="s">
        <v>2182</v>
      </c>
    </row>
    <row r="391" spans="1:15" x14ac:dyDescent="0.25">
      <c r="A391" t="s">
        <v>40</v>
      </c>
      <c r="B391" t="s">
        <v>34</v>
      </c>
      <c r="C391" t="s">
        <v>1555</v>
      </c>
      <c r="D391">
        <v>2023</v>
      </c>
      <c r="E391" t="s">
        <v>2183</v>
      </c>
      <c r="F391" t="s">
        <v>231</v>
      </c>
      <c r="G391" t="s">
        <v>2184</v>
      </c>
      <c r="I391" t="s">
        <v>1558</v>
      </c>
      <c r="J391" t="s">
        <v>448</v>
      </c>
      <c r="L391" t="s">
        <v>2185</v>
      </c>
      <c r="M391" t="s">
        <v>1559</v>
      </c>
      <c r="N391" t="s">
        <v>2186</v>
      </c>
      <c r="O391" t="s">
        <v>2187</v>
      </c>
    </row>
    <row r="392" spans="1:15" x14ac:dyDescent="0.25">
      <c r="A392" t="s">
        <v>40</v>
      </c>
      <c r="B392" t="s">
        <v>34</v>
      </c>
      <c r="C392" t="s">
        <v>1561</v>
      </c>
      <c r="D392">
        <v>2023</v>
      </c>
      <c r="E392" t="s">
        <v>2188</v>
      </c>
      <c r="F392" t="s">
        <v>231</v>
      </c>
      <c r="G392" t="s">
        <v>2189</v>
      </c>
      <c r="I392" t="s">
        <v>1564</v>
      </c>
      <c r="J392" t="s">
        <v>448</v>
      </c>
      <c r="L392" t="s">
        <v>2190</v>
      </c>
      <c r="M392" t="s">
        <v>1565</v>
      </c>
      <c r="N392" t="s">
        <v>2191</v>
      </c>
      <c r="O392" t="s">
        <v>2192</v>
      </c>
    </row>
    <row r="393" spans="1:15" x14ac:dyDescent="0.25">
      <c r="A393" t="s">
        <v>40</v>
      </c>
      <c r="B393" t="s">
        <v>34</v>
      </c>
      <c r="C393" t="s">
        <v>784</v>
      </c>
      <c r="D393">
        <v>2021</v>
      </c>
      <c r="E393" t="s">
        <v>2193</v>
      </c>
      <c r="F393" t="s">
        <v>2194</v>
      </c>
      <c r="J393" t="s">
        <v>442</v>
      </c>
      <c r="L393" t="s">
        <v>2195</v>
      </c>
      <c r="M393" t="s">
        <v>787</v>
      </c>
      <c r="N393" t="s">
        <v>2196</v>
      </c>
      <c r="O393" t="s">
        <v>2197</v>
      </c>
    </row>
    <row r="394" spans="1:15" x14ac:dyDescent="0.25">
      <c r="A394" t="s">
        <v>40</v>
      </c>
      <c r="B394" t="s">
        <v>34</v>
      </c>
      <c r="C394" t="s">
        <v>790</v>
      </c>
      <c r="D394">
        <v>2023</v>
      </c>
      <c r="E394" t="s">
        <v>2198</v>
      </c>
      <c r="F394" t="s">
        <v>492</v>
      </c>
      <c r="J394" t="s">
        <v>442</v>
      </c>
      <c r="L394" t="s">
        <v>2199</v>
      </c>
      <c r="M394" t="s">
        <v>793</v>
      </c>
      <c r="N394" t="s">
        <v>2200</v>
      </c>
      <c r="O394" t="s">
        <v>2201</v>
      </c>
    </row>
    <row r="395" spans="1:15" x14ac:dyDescent="0.25">
      <c r="A395" t="s">
        <v>40</v>
      </c>
      <c r="B395" t="s">
        <v>34</v>
      </c>
      <c r="C395" t="s">
        <v>2202</v>
      </c>
      <c r="D395">
        <v>2021</v>
      </c>
      <c r="E395" t="s">
        <v>2203</v>
      </c>
      <c r="F395" t="s">
        <v>231</v>
      </c>
      <c r="G395" t="s">
        <v>2204</v>
      </c>
      <c r="I395" t="s">
        <v>2205</v>
      </c>
      <c r="J395" t="s">
        <v>448</v>
      </c>
      <c r="L395" t="s">
        <v>2206</v>
      </c>
      <c r="M395" t="s">
        <v>2207</v>
      </c>
      <c r="N395" t="s">
        <v>2208</v>
      </c>
      <c r="O395" t="s">
        <v>2209</v>
      </c>
    </row>
    <row r="396" spans="1:15" x14ac:dyDescent="0.25">
      <c r="A396" t="s">
        <v>40</v>
      </c>
      <c r="B396" t="s">
        <v>34</v>
      </c>
      <c r="C396" t="s">
        <v>1576</v>
      </c>
      <c r="D396">
        <v>2022</v>
      </c>
      <c r="E396" t="s">
        <v>1577</v>
      </c>
      <c r="F396" t="s">
        <v>2210</v>
      </c>
      <c r="G396">
        <v>2</v>
      </c>
      <c r="I396" t="s">
        <v>433</v>
      </c>
      <c r="J396" t="s">
        <v>513</v>
      </c>
      <c r="L396" t="s">
        <v>2211</v>
      </c>
      <c r="M396" t="s">
        <v>1579</v>
      </c>
      <c r="N396" t="s">
        <v>2212</v>
      </c>
      <c r="O396" t="s">
        <v>2213</v>
      </c>
    </row>
    <row r="397" spans="1:15" x14ac:dyDescent="0.25">
      <c r="A397" t="s">
        <v>40</v>
      </c>
      <c r="B397" t="s">
        <v>14</v>
      </c>
      <c r="C397" t="s">
        <v>1576</v>
      </c>
      <c r="D397">
        <v>2024</v>
      </c>
      <c r="E397" t="s">
        <v>2214</v>
      </c>
      <c r="F397" t="s">
        <v>76</v>
      </c>
      <c r="G397">
        <v>5</v>
      </c>
      <c r="H397">
        <v>1</v>
      </c>
      <c r="J397" t="s">
        <v>503</v>
      </c>
      <c r="L397" t="s">
        <v>2215</v>
      </c>
      <c r="M397" t="s">
        <v>2216</v>
      </c>
      <c r="N397" t="s">
        <v>2217</v>
      </c>
      <c r="O397" t="s">
        <v>2218</v>
      </c>
    </row>
    <row r="398" spans="1:15" x14ac:dyDescent="0.25">
      <c r="A398" t="s">
        <v>40</v>
      </c>
      <c r="B398" t="s">
        <v>14</v>
      </c>
      <c r="C398" t="s">
        <v>305</v>
      </c>
      <c r="D398">
        <v>2023</v>
      </c>
      <c r="E398" t="s">
        <v>306</v>
      </c>
      <c r="F398" t="s">
        <v>307</v>
      </c>
      <c r="J398" t="s">
        <v>503</v>
      </c>
      <c r="L398" t="s">
        <v>309</v>
      </c>
      <c r="M398" t="s">
        <v>308</v>
      </c>
      <c r="N398" t="s">
        <v>2219</v>
      </c>
      <c r="O398" t="s">
        <v>2220</v>
      </c>
    </row>
    <row r="399" spans="1:15" x14ac:dyDescent="0.25">
      <c r="A399" t="s">
        <v>40</v>
      </c>
      <c r="B399" t="s">
        <v>34</v>
      </c>
      <c r="C399" t="s">
        <v>318</v>
      </c>
      <c r="D399">
        <v>2022</v>
      </c>
      <c r="E399" t="s">
        <v>319</v>
      </c>
      <c r="F399" t="s">
        <v>209</v>
      </c>
      <c r="G399">
        <v>200</v>
      </c>
      <c r="I399" t="s">
        <v>1101</v>
      </c>
      <c r="J399" t="s">
        <v>452</v>
      </c>
      <c r="L399" t="s">
        <v>321</v>
      </c>
      <c r="M399" t="s">
        <v>320</v>
      </c>
      <c r="N399" t="s">
        <v>2221</v>
      </c>
      <c r="O399" t="s">
        <v>2222</v>
      </c>
    </row>
    <row r="400" spans="1:15" x14ac:dyDescent="0.25">
      <c r="A400" t="s">
        <v>40</v>
      </c>
      <c r="B400" t="s">
        <v>34</v>
      </c>
      <c r="C400" t="s">
        <v>2223</v>
      </c>
      <c r="D400">
        <v>2024</v>
      </c>
      <c r="E400" t="s">
        <v>2224</v>
      </c>
      <c r="F400" t="s">
        <v>1773</v>
      </c>
      <c r="G400" t="s">
        <v>2225</v>
      </c>
      <c r="I400" t="s">
        <v>2226</v>
      </c>
      <c r="J400" t="s">
        <v>448</v>
      </c>
      <c r="L400" t="s">
        <v>2227</v>
      </c>
      <c r="M400" t="s">
        <v>2228</v>
      </c>
      <c r="N400" t="s">
        <v>2229</v>
      </c>
      <c r="O400" t="s">
        <v>2230</v>
      </c>
    </row>
    <row r="401" spans="1:15" x14ac:dyDescent="0.25">
      <c r="A401" t="s">
        <v>40</v>
      </c>
      <c r="B401" t="s">
        <v>34</v>
      </c>
      <c r="C401" t="s">
        <v>813</v>
      </c>
      <c r="D401">
        <v>2022</v>
      </c>
      <c r="E401" t="s">
        <v>816</v>
      </c>
      <c r="F401" t="s">
        <v>2231</v>
      </c>
      <c r="J401" t="s">
        <v>442</v>
      </c>
      <c r="L401" t="s">
        <v>2232</v>
      </c>
      <c r="M401" t="s">
        <v>815</v>
      </c>
      <c r="N401" t="s">
        <v>2233</v>
      </c>
      <c r="O401" t="s">
        <v>2234</v>
      </c>
    </row>
    <row r="402" spans="1:15" x14ac:dyDescent="0.25">
      <c r="A402" t="s">
        <v>40</v>
      </c>
      <c r="B402" t="s">
        <v>14</v>
      </c>
      <c r="C402" t="s">
        <v>332</v>
      </c>
      <c r="D402">
        <v>2023</v>
      </c>
      <c r="E402" t="s">
        <v>333</v>
      </c>
      <c r="F402" t="s">
        <v>76</v>
      </c>
      <c r="G402">
        <v>4</v>
      </c>
      <c r="H402">
        <v>6</v>
      </c>
      <c r="J402" t="s">
        <v>503</v>
      </c>
      <c r="L402" t="s">
        <v>335</v>
      </c>
      <c r="M402" t="s">
        <v>334</v>
      </c>
      <c r="N402" t="s">
        <v>2235</v>
      </c>
      <c r="O402" t="s">
        <v>2236</v>
      </c>
    </row>
    <row r="403" spans="1:15" x14ac:dyDescent="0.25">
      <c r="A403" t="s">
        <v>40</v>
      </c>
      <c r="B403" t="s">
        <v>34</v>
      </c>
      <c r="C403" t="s">
        <v>2237</v>
      </c>
      <c r="D403">
        <v>2023</v>
      </c>
      <c r="E403" t="s">
        <v>828</v>
      </c>
      <c r="F403" t="s">
        <v>2033</v>
      </c>
      <c r="G403" t="s">
        <v>467</v>
      </c>
      <c r="I403" t="s">
        <v>825</v>
      </c>
      <c r="J403" t="s">
        <v>472</v>
      </c>
      <c r="L403" t="s">
        <v>2238</v>
      </c>
      <c r="M403" t="s">
        <v>827</v>
      </c>
      <c r="N403" t="s">
        <v>2239</v>
      </c>
      <c r="O403" t="s">
        <v>2240</v>
      </c>
    </row>
    <row r="404" spans="1:15" x14ac:dyDescent="0.25">
      <c r="A404" t="s">
        <v>40</v>
      </c>
      <c r="B404" t="s">
        <v>34</v>
      </c>
      <c r="C404" t="s">
        <v>412</v>
      </c>
      <c r="D404">
        <v>2022</v>
      </c>
      <c r="E404" t="s">
        <v>413</v>
      </c>
      <c r="F404" t="s">
        <v>515</v>
      </c>
      <c r="G404" t="s">
        <v>516</v>
      </c>
      <c r="I404" t="s">
        <v>415</v>
      </c>
      <c r="J404" t="s">
        <v>442</v>
      </c>
      <c r="L404" t="s">
        <v>517</v>
      </c>
      <c r="M404" t="s">
        <v>416</v>
      </c>
      <c r="N404" t="s">
        <v>518</v>
      </c>
      <c r="O404" t="s">
        <v>519</v>
      </c>
    </row>
    <row r="405" spans="1:15" x14ac:dyDescent="0.25">
      <c r="A405" t="s">
        <v>40</v>
      </c>
      <c r="B405" t="s">
        <v>34</v>
      </c>
      <c r="C405" t="s">
        <v>2241</v>
      </c>
      <c r="D405">
        <v>2023</v>
      </c>
      <c r="E405" t="s">
        <v>2242</v>
      </c>
      <c r="F405" t="s">
        <v>2243</v>
      </c>
      <c r="I405" t="s">
        <v>2244</v>
      </c>
      <c r="J405" t="s">
        <v>445</v>
      </c>
      <c r="L405" t="s">
        <v>2245</v>
      </c>
      <c r="M405" t="s">
        <v>2246</v>
      </c>
      <c r="N405" t="s">
        <v>2247</v>
      </c>
      <c r="O405" t="s">
        <v>2248</v>
      </c>
    </row>
    <row r="406" spans="1:15" x14ac:dyDescent="0.25">
      <c r="A406" t="s">
        <v>40</v>
      </c>
      <c r="B406" t="s">
        <v>34</v>
      </c>
      <c r="C406" t="s">
        <v>832</v>
      </c>
      <c r="D406">
        <v>2022</v>
      </c>
      <c r="E406" t="s">
        <v>836</v>
      </c>
      <c r="F406" t="s">
        <v>2249</v>
      </c>
      <c r="J406" t="s">
        <v>442</v>
      </c>
      <c r="L406" t="s">
        <v>2250</v>
      </c>
      <c r="M406" t="s">
        <v>835</v>
      </c>
      <c r="N406" t="s">
        <v>2251</v>
      </c>
      <c r="O406" t="s">
        <v>2252</v>
      </c>
    </row>
    <row r="407" spans="1:15" x14ac:dyDescent="0.25">
      <c r="A407" t="s">
        <v>40</v>
      </c>
      <c r="B407" t="s">
        <v>34</v>
      </c>
      <c r="C407" t="s">
        <v>2253</v>
      </c>
      <c r="D407">
        <v>2022</v>
      </c>
      <c r="E407" t="s">
        <v>2254</v>
      </c>
      <c r="F407" t="s">
        <v>488</v>
      </c>
      <c r="I407" t="s">
        <v>2255</v>
      </c>
      <c r="J407" t="s">
        <v>445</v>
      </c>
      <c r="L407" t="s">
        <v>2256</v>
      </c>
      <c r="M407" t="s">
        <v>2257</v>
      </c>
      <c r="N407" t="s">
        <v>2258</v>
      </c>
      <c r="O407" t="s">
        <v>2259</v>
      </c>
    </row>
    <row r="408" spans="1:15" x14ac:dyDescent="0.25">
      <c r="A408" t="s">
        <v>40</v>
      </c>
      <c r="B408" t="s">
        <v>34</v>
      </c>
      <c r="C408" t="s">
        <v>845</v>
      </c>
      <c r="D408">
        <v>2022</v>
      </c>
      <c r="E408" t="s">
        <v>849</v>
      </c>
      <c r="F408" t="s">
        <v>510</v>
      </c>
      <c r="I408" t="s">
        <v>846</v>
      </c>
      <c r="J408" t="s">
        <v>472</v>
      </c>
      <c r="L408" t="s">
        <v>2260</v>
      </c>
      <c r="M408" t="s">
        <v>848</v>
      </c>
      <c r="N408" t="s">
        <v>2261</v>
      </c>
      <c r="O408" t="s">
        <v>2262</v>
      </c>
    </row>
    <row r="409" spans="1:15" x14ac:dyDescent="0.25">
      <c r="A409" t="s">
        <v>40</v>
      </c>
      <c r="B409" t="s">
        <v>34</v>
      </c>
      <c r="C409" t="s">
        <v>2263</v>
      </c>
      <c r="D409">
        <v>2023</v>
      </c>
      <c r="E409" t="s">
        <v>2264</v>
      </c>
      <c r="F409" t="s">
        <v>231</v>
      </c>
      <c r="G409" t="s">
        <v>2265</v>
      </c>
      <c r="I409" t="s">
        <v>2266</v>
      </c>
      <c r="J409" t="s">
        <v>448</v>
      </c>
      <c r="L409" t="s">
        <v>2267</v>
      </c>
      <c r="M409" t="s">
        <v>2268</v>
      </c>
      <c r="N409" t="s">
        <v>2269</v>
      </c>
      <c r="O409" t="s">
        <v>2270</v>
      </c>
    </row>
    <row r="410" spans="1:15" x14ac:dyDescent="0.25">
      <c r="A410" t="s">
        <v>40</v>
      </c>
      <c r="B410" t="s">
        <v>34</v>
      </c>
      <c r="C410" t="s">
        <v>851</v>
      </c>
      <c r="D410">
        <v>2023</v>
      </c>
      <c r="E410" t="s">
        <v>855</v>
      </c>
      <c r="F410" t="s">
        <v>478</v>
      </c>
      <c r="J410" t="s">
        <v>442</v>
      </c>
      <c r="L410" t="s">
        <v>2271</v>
      </c>
      <c r="M410" t="s">
        <v>854</v>
      </c>
      <c r="N410" t="s">
        <v>2272</v>
      </c>
      <c r="O410" t="s">
        <v>2273</v>
      </c>
    </row>
    <row r="411" spans="1:15" x14ac:dyDescent="0.25">
      <c r="A411" t="s">
        <v>40</v>
      </c>
      <c r="B411" t="s">
        <v>14</v>
      </c>
      <c r="C411" t="s">
        <v>1108</v>
      </c>
      <c r="D411">
        <v>2022</v>
      </c>
      <c r="E411" t="s">
        <v>1109</v>
      </c>
      <c r="F411" t="s">
        <v>27</v>
      </c>
      <c r="G411">
        <v>78</v>
      </c>
      <c r="J411" t="s">
        <v>462</v>
      </c>
      <c r="L411" t="s">
        <v>2274</v>
      </c>
      <c r="M411" t="s">
        <v>1629</v>
      </c>
      <c r="N411" t="s">
        <v>2275</v>
      </c>
      <c r="O411" t="s">
        <v>2276</v>
      </c>
    </row>
    <row r="412" spans="1:15" x14ac:dyDescent="0.25">
      <c r="A412" t="s">
        <v>40</v>
      </c>
      <c r="B412" t="s">
        <v>34</v>
      </c>
      <c r="C412" t="s">
        <v>857</v>
      </c>
      <c r="D412">
        <v>2023</v>
      </c>
      <c r="E412" t="s">
        <v>862</v>
      </c>
      <c r="F412" t="s">
        <v>2277</v>
      </c>
      <c r="I412" t="s">
        <v>2278</v>
      </c>
      <c r="J412" t="s">
        <v>442</v>
      </c>
      <c r="L412" t="s">
        <v>2279</v>
      </c>
      <c r="M412" t="s">
        <v>861</v>
      </c>
      <c r="N412" t="s">
        <v>2280</v>
      </c>
      <c r="O412" t="s">
        <v>2281</v>
      </c>
    </row>
    <row r="413" spans="1:15" x14ac:dyDescent="0.25">
      <c r="A413" t="s">
        <v>40</v>
      </c>
      <c r="B413" t="s">
        <v>34</v>
      </c>
      <c r="C413" t="s">
        <v>2282</v>
      </c>
      <c r="D413">
        <v>2023</v>
      </c>
      <c r="E413" t="s">
        <v>876</v>
      </c>
      <c r="F413" t="s">
        <v>2283</v>
      </c>
      <c r="G413" t="s">
        <v>489</v>
      </c>
      <c r="I413" t="s">
        <v>873</v>
      </c>
      <c r="J413" t="s">
        <v>442</v>
      </c>
      <c r="L413" t="s">
        <v>2284</v>
      </c>
      <c r="M413" t="s">
        <v>875</v>
      </c>
      <c r="N413" t="s">
        <v>2285</v>
      </c>
      <c r="O413" t="s">
        <v>2286</v>
      </c>
    </row>
    <row r="414" spans="1:15" x14ac:dyDescent="0.25">
      <c r="A414" t="s">
        <v>40</v>
      </c>
      <c r="B414" t="s">
        <v>14</v>
      </c>
      <c r="C414" t="s">
        <v>354</v>
      </c>
      <c r="D414">
        <v>2023</v>
      </c>
      <c r="E414" t="s">
        <v>355</v>
      </c>
      <c r="F414" t="s">
        <v>379</v>
      </c>
      <c r="G414">
        <v>11</v>
      </c>
      <c r="I414" t="s">
        <v>423</v>
      </c>
      <c r="J414" t="s">
        <v>442</v>
      </c>
      <c r="L414" t="s">
        <v>520</v>
      </c>
      <c r="M414" t="s">
        <v>356</v>
      </c>
      <c r="N414" t="s">
        <v>521</v>
      </c>
      <c r="O414" t="s">
        <v>522</v>
      </c>
    </row>
    <row r="415" spans="1:15" x14ac:dyDescent="0.25">
      <c r="A415" t="s">
        <v>40</v>
      </c>
      <c r="B415" t="s">
        <v>34</v>
      </c>
      <c r="C415" t="s">
        <v>879</v>
      </c>
      <c r="D415">
        <v>2023</v>
      </c>
      <c r="E415" t="s">
        <v>884</v>
      </c>
      <c r="F415" t="s">
        <v>2287</v>
      </c>
      <c r="I415" t="s">
        <v>881</v>
      </c>
      <c r="J415" t="s">
        <v>442</v>
      </c>
      <c r="L415" t="s">
        <v>2288</v>
      </c>
      <c r="M415" t="s">
        <v>883</v>
      </c>
      <c r="N415" t="s">
        <v>2289</v>
      </c>
      <c r="O415" t="s">
        <v>2290</v>
      </c>
    </row>
    <row r="416" spans="1:15" x14ac:dyDescent="0.25">
      <c r="A416" t="s">
        <v>40</v>
      </c>
      <c r="B416" t="s">
        <v>14</v>
      </c>
      <c r="C416" t="s">
        <v>879</v>
      </c>
      <c r="D416">
        <v>2024</v>
      </c>
      <c r="E416" t="s">
        <v>2291</v>
      </c>
      <c r="F416" t="s">
        <v>2292</v>
      </c>
      <c r="G416">
        <v>16</v>
      </c>
      <c r="H416">
        <v>1</v>
      </c>
      <c r="I416" s="11">
        <v>16072</v>
      </c>
      <c r="J416" t="s">
        <v>503</v>
      </c>
      <c r="L416" t="s">
        <v>2293</v>
      </c>
      <c r="M416" t="s">
        <v>1649</v>
      </c>
      <c r="N416" t="s">
        <v>2294</v>
      </c>
      <c r="O416" t="s">
        <v>2295</v>
      </c>
    </row>
    <row r="417" spans="1:15" x14ac:dyDescent="0.25">
      <c r="A417" t="s">
        <v>40</v>
      </c>
      <c r="B417" t="s">
        <v>14</v>
      </c>
      <c r="C417" t="s">
        <v>2296</v>
      </c>
      <c r="D417">
        <v>2023</v>
      </c>
      <c r="E417" t="s">
        <v>2297</v>
      </c>
      <c r="F417" t="s">
        <v>434</v>
      </c>
      <c r="G417">
        <v>14</v>
      </c>
      <c r="H417">
        <v>11</v>
      </c>
      <c r="I417" t="s">
        <v>2298</v>
      </c>
      <c r="J417" t="s">
        <v>482</v>
      </c>
      <c r="L417" t="s">
        <v>2299</v>
      </c>
      <c r="M417" t="s">
        <v>2300</v>
      </c>
      <c r="N417" t="s">
        <v>2301</v>
      </c>
      <c r="O417" t="s">
        <v>2302</v>
      </c>
    </row>
    <row r="418" spans="1:15" x14ac:dyDescent="0.25">
      <c r="A418" t="s">
        <v>40</v>
      </c>
      <c r="B418" t="s">
        <v>14</v>
      </c>
      <c r="C418" t="s">
        <v>2303</v>
      </c>
      <c r="D418">
        <v>2023</v>
      </c>
      <c r="E418" t="s">
        <v>1662</v>
      </c>
      <c r="F418" t="s">
        <v>2304</v>
      </c>
      <c r="G418">
        <v>5</v>
      </c>
      <c r="H418">
        <v>2</v>
      </c>
      <c r="J418" t="s">
        <v>2305</v>
      </c>
      <c r="L418" t="s">
        <v>2306</v>
      </c>
      <c r="M418" t="s">
        <v>1664</v>
      </c>
      <c r="N418" t="s">
        <v>2307</v>
      </c>
      <c r="O418" t="s">
        <v>2308</v>
      </c>
    </row>
    <row r="419" spans="1:15" x14ac:dyDescent="0.25">
      <c r="A419" t="s">
        <v>40</v>
      </c>
      <c r="B419" t="s">
        <v>14</v>
      </c>
      <c r="C419" t="s">
        <v>2309</v>
      </c>
      <c r="D419">
        <v>2022</v>
      </c>
      <c r="E419" t="s">
        <v>1667</v>
      </c>
      <c r="F419" t="s">
        <v>2310</v>
      </c>
      <c r="G419">
        <v>10</v>
      </c>
      <c r="H419">
        <v>5</v>
      </c>
      <c r="J419" t="s">
        <v>370</v>
      </c>
      <c r="L419" t="s">
        <v>2311</v>
      </c>
      <c r="M419" t="s">
        <v>1669</v>
      </c>
      <c r="N419" t="s">
        <v>2312</v>
      </c>
      <c r="O419" t="s">
        <v>2313</v>
      </c>
    </row>
    <row r="420" spans="1:15" x14ac:dyDescent="0.25">
      <c r="A420" t="s">
        <v>40</v>
      </c>
      <c r="B420" t="s">
        <v>14</v>
      </c>
      <c r="C420" t="s">
        <v>1114</v>
      </c>
      <c r="D420">
        <v>2023</v>
      </c>
      <c r="E420" t="s">
        <v>1115</v>
      </c>
      <c r="F420" t="s">
        <v>27</v>
      </c>
      <c r="G420">
        <v>86</v>
      </c>
      <c r="J420" t="s">
        <v>462</v>
      </c>
      <c r="L420" t="s">
        <v>2314</v>
      </c>
      <c r="M420" t="s">
        <v>1671</v>
      </c>
      <c r="N420" t="s">
        <v>2315</v>
      </c>
      <c r="O420" t="s">
        <v>2316</v>
      </c>
    </row>
    <row r="421" spans="1:15" x14ac:dyDescent="0.25">
      <c r="A421" t="s">
        <v>40</v>
      </c>
      <c r="B421" t="s">
        <v>14</v>
      </c>
      <c r="C421" t="s">
        <v>1672</v>
      </c>
      <c r="D421">
        <v>2022</v>
      </c>
      <c r="E421" t="s">
        <v>1673</v>
      </c>
      <c r="F421" t="s">
        <v>2317</v>
      </c>
      <c r="G421">
        <v>2022</v>
      </c>
      <c r="J421" t="s">
        <v>443</v>
      </c>
      <c r="L421" t="s">
        <v>2318</v>
      </c>
      <c r="M421" t="s">
        <v>1675</v>
      </c>
      <c r="N421" t="s">
        <v>2319</v>
      </c>
      <c r="O421" t="s">
        <v>2320</v>
      </c>
    </row>
    <row r="422" spans="1:15" x14ac:dyDescent="0.25">
      <c r="A422" t="s">
        <v>40</v>
      </c>
      <c r="B422" t="s">
        <v>34</v>
      </c>
      <c r="C422" t="s">
        <v>892</v>
      </c>
      <c r="D422">
        <v>2022</v>
      </c>
      <c r="E422" t="s">
        <v>896</v>
      </c>
      <c r="F422" t="s">
        <v>492</v>
      </c>
      <c r="G422" t="s">
        <v>523</v>
      </c>
      <c r="I422" t="s">
        <v>893</v>
      </c>
      <c r="J422" t="s">
        <v>442</v>
      </c>
      <c r="L422" t="s">
        <v>2321</v>
      </c>
      <c r="M422" t="s">
        <v>895</v>
      </c>
      <c r="N422" t="s">
        <v>2322</v>
      </c>
      <c r="O422" t="s">
        <v>2323</v>
      </c>
    </row>
    <row r="423" spans="1:15" x14ac:dyDescent="0.25">
      <c r="A423" t="s">
        <v>40</v>
      </c>
      <c r="B423" t="s">
        <v>14</v>
      </c>
      <c r="C423" t="s">
        <v>1120</v>
      </c>
      <c r="D423">
        <v>2023</v>
      </c>
      <c r="E423" t="s">
        <v>1121</v>
      </c>
      <c r="F423" t="s">
        <v>439</v>
      </c>
      <c r="G423">
        <v>164</v>
      </c>
      <c r="I423" t="s">
        <v>1122</v>
      </c>
      <c r="J423" t="s">
        <v>462</v>
      </c>
      <c r="L423" t="s">
        <v>2324</v>
      </c>
      <c r="M423" t="s">
        <v>1686</v>
      </c>
      <c r="N423" t="s">
        <v>2325</v>
      </c>
      <c r="O423" t="s">
        <v>2326</v>
      </c>
    </row>
    <row r="424" spans="1:15" x14ac:dyDescent="0.25">
      <c r="A424" t="s">
        <v>40</v>
      </c>
      <c r="B424" t="s">
        <v>14</v>
      </c>
      <c r="C424" t="s">
        <v>1127</v>
      </c>
      <c r="D424">
        <v>2023</v>
      </c>
      <c r="E424" t="s">
        <v>1128</v>
      </c>
      <c r="F424" t="s">
        <v>376</v>
      </c>
      <c r="G424">
        <v>126</v>
      </c>
      <c r="J424" t="s">
        <v>462</v>
      </c>
      <c r="L424" t="s">
        <v>2327</v>
      </c>
      <c r="M424" t="s">
        <v>1708</v>
      </c>
      <c r="N424" t="s">
        <v>2328</v>
      </c>
      <c r="O424" t="s">
        <v>2329</v>
      </c>
    </row>
    <row r="425" spans="1:15" x14ac:dyDescent="0.25">
      <c r="A425" t="s">
        <v>40</v>
      </c>
      <c r="B425" t="s">
        <v>34</v>
      </c>
      <c r="C425" t="s">
        <v>910</v>
      </c>
      <c r="D425">
        <v>2022</v>
      </c>
      <c r="E425" t="s">
        <v>915</v>
      </c>
      <c r="F425" t="s">
        <v>2330</v>
      </c>
      <c r="I425" t="s">
        <v>912</v>
      </c>
      <c r="J425" t="s">
        <v>442</v>
      </c>
      <c r="L425" t="s">
        <v>2331</v>
      </c>
      <c r="M425" t="s">
        <v>914</v>
      </c>
      <c r="N425" t="s">
        <v>2332</v>
      </c>
      <c r="O425" t="s">
        <v>2333</v>
      </c>
    </row>
    <row r="426" spans="1:15" x14ac:dyDescent="0.25">
      <c r="A426" t="s">
        <v>40</v>
      </c>
      <c r="B426" t="s">
        <v>34</v>
      </c>
      <c r="C426" t="s">
        <v>2334</v>
      </c>
      <c r="D426">
        <v>2021</v>
      </c>
      <c r="E426" t="s">
        <v>1712</v>
      </c>
      <c r="F426" t="s">
        <v>2335</v>
      </c>
      <c r="G426" t="s">
        <v>2336</v>
      </c>
      <c r="I426" t="s">
        <v>1714</v>
      </c>
      <c r="J426" t="s">
        <v>508</v>
      </c>
      <c r="L426" t="s">
        <v>2337</v>
      </c>
      <c r="N426" t="s">
        <v>2338</v>
      </c>
      <c r="O426" t="s">
        <v>2339</v>
      </c>
    </row>
    <row r="427" spans="1:15" x14ac:dyDescent="0.25">
      <c r="A427" t="s">
        <v>40</v>
      </c>
      <c r="B427" t="s">
        <v>34</v>
      </c>
      <c r="C427" t="s">
        <v>2340</v>
      </c>
      <c r="D427">
        <v>2021</v>
      </c>
      <c r="E427" t="s">
        <v>2341</v>
      </c>
      <c r="F427" t="s">
        <v>480</v>
      </c>
      <c r="G427">
        <v>161</v>
      </c>
      <c r="I427" t="s">
        <v>2342</v>
      </c>
      <c r="J427" t="s">
        <v>481</v>
      </c>
      <c r="L427" t="s">
        <v>2343</v>
      </c>
      <c r="N427" t="s">
        <v>2344</v>
      </c>
      <c r="O427" t="s">
        <v>2345</v>
      </c>
    </row>
    <row r="428" spans="1:15" x14ac:dyDescent="0.25">
      <c r="A428" t="s">
        <v>40</v>
      </c>
      <c r="B428" t="s">
        <v>34</v>
      </c>
      <c r="C428" t="s">
        <v>2340</v>
      </c>
      <c r="D428">
        <v>2021</v>
      </c>
      <c r="E428" t="s">
        <v>2341</v>
      </c>
      <c r="F428" t="s">
        <v>2346</v>
      </c>
      <c r="I428" t="s">
        <v>2347</v>
      </c>
      <c r="J428" t="s">
        <v>2348</v>
      </c>
      <c r="L428" t="s">
        <v>2349</v>
      </c>
      <c r="N428" t="s">
        <v>2350</v>
      </c>
      <c r="O428" t="s">
        <v>2351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8173-02E6-49AF-9EBF-D55C4F4DE0C1}">
  <sheetPr>
    <tabColor theme="9"/>
  </sheetPr>
  <dimension ref="A1"/>
  <sheetViews>
    <sheetView tabSelected="1" workbookViewId="0">
      <selection activeCell="X17" sqref="X17"/>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D3A18-0AEB-4256-A821-A45B0121C8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ReadMe_File</vt:lpstr>
      <vt:lpstr># Databases</vt:lpstr>
      <vt:lpstr>#Publisher</vt:lpstr>
      <vt:lpstr># Reference Type</vt:lpstr>
      <vt:lpstr># Years</vt:lpstr>
      <vt:lpstr># E&amp;QA</vt:lpstr>
      <vt:lpstr>Techniques</vt:lpstr>
      <vt:lpstr>Variations</vt:lpstr>
      <vt:lpstr>Metrics</vt:lpstr>
      <vt:lpstr>4 Included</vt:lpstr>
      <vt:lpstr>3 Eligibility</vt:lpstr>
      <vt:lpstr>2 Screening</vt:lpstr>
      <vt:lpstr>1 Identification</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 Muiz</dc:creator>
  <cp:keywords/>
  <dc:description/>
  <cp:lastModifiedBy>Abdul Muiz Fayyaz</cp:lastModifiedBy>
  <cp:revision/>
  <cp:lastPrinted>2024-06-14T01:16:18Z</cp:lastPrinted>
  <dcterms:created xsi:type="dcterms:W3CDTF">2015-06-05T18:17:20Z</dcterms:created>
  <dcterms:modified xsi:type="dcterms:W3CDTF">2026-10-02T08:34:42Z</dcterms:modified>
  <cp:category/>
  <cp:contentStatus/>
</cp:coreProperties>
</file>